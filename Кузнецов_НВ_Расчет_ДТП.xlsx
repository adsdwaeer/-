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user\kuznetcov\Цифровые компетенции в научной деятельности\Готовое\Общее_практическое\"/>
    </mc:Choice>
  </mc:AlternateContent>
  <bookViews>
    <workbookView xWindow="0" yWindow="0" windowWidth="38400" windowHeight="17610" activeTab="8"/>
  </bookViews>
  <sheets>
    <sheet name="Источник_данных" sheetId="1" r:id="rId1"/>
    <sheet name="ДТП_Корнуолл" sheetId="2" r:id="rId2"/>
    <sheet name="Таблица_наблюдений" sheetId="3" r:id="rId3"/>
    <sheet name="МНК_STATS19" sheetId="4" r:id="rId4"/>
    <sheet name="МНК_ВКР" sheetId="5" r:id="rId5"/>
    <sheet name="МНК_172" sheetId="6" r:id="rId6"/>
    <sheet name="Оценочная_2017" sheetId="7" r:id="rId7"/>
    <sheet name="Сравнение" sheetId="8" r:id="rId8"/>
    <sheet name="Пример_индейки" sheetId="9" r:id="rId9"/>
  </sheets>
  <calcPr calcId="162913"/>
</workbook>
</file>

<file path=xl/calcChain.xml><?xml version="1.0" encoding="utf-8"?>
<calcChain xmlns="http://schemas.openxmlformats.org/spreadsheetml/2006/main">
  <c r="T17" i="9" l="1"/>
  <c r="S17" i="9"/>
  <c r="R17" i="9"/>
  <c r="I17" i="9"/>
  <c r="J17" i="9" s="1"/>
  <c r="T16" i="9"/>
  <c r="S16" i="9"/>
  <c r="R16" i="9"/>
  <c r="I16" i="9"/>
  <c r="J16" i="9" s="1"/>
  <c r="T15" i="9"/>
  <c r="S15" i="9"/>
  <c r="R15" i="9"/>
  <c r="I15" i="9"/>
  <c r="J15" i="9" s="1"/>
  <c r="T14" i="9"/>
  <c r="S14" i="9"/>
  <c r="R14" i="9"/>
  <c r="J14" i="9"/>
  <c r="I14" i="9"/>
  <c r="T13" i="9"/>
  <c r="S13" i="9"/>
  <c r="R13" i="9"/>
  <c r="I13" i="9"/>
  <c r="J13" i="9" s="1"/>
  <c r="T12" i="9"/>
  <c r="S12" i="9"/>
  <c r="R12" i="9"/>
  <c r="I12" i="9"/>
  <c r="J12" i="9" s="1"/>
  <c r="T11" i="9"/>
  <c r="S11" i="9"/>
  <c r="R11" i="9"/>
  <c r="I11" i="9"/>
  <c r="J11" i="9" s="1"/>
  <c r="T10" i="9"/>
  <c r="S10" i="9"/>
  <c r="R10" i="9"/>
  <c r="I10" i="9"/>
  <c r="J10" i="9" s="1"/>
  <c r="T9" i="9"/>
  <c r="S9" i="9"/>
  <c r="R9" i="9"/>
  <c r="I9" i="9"/>
  <c r="J9" i="9" s="1"/>
  <c r="T8" i="9"/>
  <c r="S8" i="9"/>
  <c r="R8" i="9"/>
  <c r="I8" i="9"/>
  <c r="J8" i="9" s="1"/>
  <c r="T7" i="9"/>
  <c r="S7" i="9"/>
  <c r="R7" i="9"/>
  <c r="I7" i="9"/>
  <c r="J7" i="9" s="1"/>
  <c r="T6" i="9"/>
  <c r="S6" i="9"/>
  <c r="R6" i="9"/>
  <c r="I6" i="9"/>
  <c r="J6" i="9" s="1"/>
  <c r="T5" i="9"/>
  <c r="S5" i="9"/>
  <c r="R5" i="9"/>
  <c r="I5" i="9"/>
  <c r="J5" i="9" s="1"/>
  <c r="B13" i="8"/>
  <c r="B12" i="8"/>
  <c r="B11" i="8"/>
  <c r="B10" i="8"/>
  <c r="B9" i="8"/>
  <c r="B8" i="8"/>
  <c r="G7" i="8"/>
  <c r="F7" i="8"/>
  <c r="E7" i="8"/>
  <c r="D7" i="8"/>
  <c r="C7" i="8"/>
  <c r="B7" i="8"/>
  <c r="B6" i="8"/>
  <c r="B5" i="8"/>
  <c r="K30" i="7"/>
  <c r="J30" i="7"/>
  <c r="I30" i="7"/>
  <c r="H30" i="7"/>
  <c r="G30" i="7"/>
  <c r="F30" i="7"/>
  <c r="E30" i="7"/>
  <c r="D30" i="7"/>
  <c r="C30" i="7"/>
  <c r="K29" i="7"/>
  <c r="K28" i="7"/>
  <c r="K27" i="7"/>
  <c r="K26" i="7"/>
  <c r="F19" i="7"/>
  <c r="E19" i="7"/>
  <c r="D19" i="7"/>
  <c r="C19" i="7"/>
  <c r="A19" i="7"/>
  <c r="F18" i="7"/>
  <c r="E18" i="7"/>
  <c r="D18" i="7"/>
  <c r="C18" i="7"/>
  <c r="A18" i="7"/>
  <c r="F17" i="7"/>
  <c r="F20" i="7" s="1"/>
  <c r="E17" i="7"/>
  <c r="D17" i="7"/>
  <c r="C17" i="7"/>
  <c r="A17" i="7"/>
  <c r="F16" i="7"/>
  <c r="E16" i="7"/>
  <c r="D16" i="7"/>
  <c r="D20" i="7" s="1"/>
  <c r="C16" i="7"/>
  <c r="A16" i="7"/>
  <c r="A7" i="7"/>
  <c r="M7" i="7" s="1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W16" i="6"/>
  <c r="C16" i="6"/>
  <c r="C15" i="6"/>
  <c r="C14" i="6"/>
  <c r="C13" i="6"/>
  <c r="C12" i="6"/>
  <c r="C11" i="6"/>
  <c r="C10" i="6"/>
  <c r="C9" i="6"/>
  <c r="C8" i="6"/>
  <c r="C7" i="6"/>
  <c r="C6" i="6"/>
  <c r="C5" i="6"/>
  <c r="R43" i="5"/>
  <c r="J40" i="5"/>
  <c r="C18" i="8" s="1"/>
  <c r="P32" i="5"/>
  <c r="P29" i="5"/>
  <c r="C17" i="8" s="1"/>
  <c r="P19" i="5" a="1"/>
  <c r="P19" i="5" s="1"/>
  <c r="W16" i="5"/>
  <c r="P6" i="5" a="1"/>
  <c r="W10" i="5" s="1"/>
  <c r="C39" i="4"/>
  <c r="A9" i="7" s="1"/>
  <c r="M9" i="7" s="1"/>
  <c r="C38" i="4"/>
  <c r="A8" i="7" s="1"/>
  <c r="M8" i="7" s="1"/>
  <c r="C37" i="4"/>
  <c r="C36" i="4"/>
  <c r="A6" i="7" s="1"/>
  <c r="M6" i="7" s="1"/>
  <c r="C35" i="4"/>
  <c r="C34" i="4"/>
  <c r="C33" i="4"/>
  <c r="F32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W16" i="4"/>
  <c r="C16" i="4"/>
  <c r="C15" i="4"/>
  <c r="C14" i="4"/>
  <c r="C13" i="4"/>
  <c r="C12" i="4"/>
  <c r="C11" i="4"/>
  <c r="C10" i="4"/>
  <c r="C9" i="4"/>
  <c r="C8" i="4"/>
  <c r="C7" i="4"/>
  <c r="C6" i="4"/>
  <c r="C5" i="4"/>
  <c r="O41" i="3"/>
  <c r="N41" i="3"/>
  <c r="M41" i="3"/>
  <c r="L41" i="3"/>
  <c r="C40" i="3"/>
  <c r="K40" i="3" s="1"/>
  <c r="B40" i="3"/>
  <c r="C39" i="3"/>
  <c r="H39" i="3" s="1"/>
  <c r="B39" i="3"/>
  <c r="H38" i="3"/>
  <c r="C38" i="3"/>
  <c r="J38" i="3" s="1"/>
  <c r="E37" i="6" s="1"/>
  <c r="B38" i="3"/>
  <c r="H37" i="3"/>
  <c r="C37" i="3"/>
  <c r="K37" i="3" s="1"/>
  <c r="B37" i="3"/>
  <c r="K36" i="3"/>
  <c r="C36" i="3"/>
  <c r="B36" i="3"/>
  <c r="C35" i="3"/>
  <c r="B35" i="3"/>
  <c r="C34" i="3"/>
  <c r="B34" i="3"/>
  <c r="K33" i="3"/>
  <c r="F32" i="6" s="1"/>
  <c r="J33" i="3"/>
  <c r="I33" i="3"/>
  <c r="H33" i="3"/>
  <c r="C33" i="3"/>
  <c r="B33" i="3"/>
  <c r="K32" i="3"/>
  <c r="H32" i="3"/>
  <c r="C32" i="3"/>
  <c r="I32" i="3" s="1"/>
  <c r="B32" i="3"/>
  <c r="C31" i="3"/>
  <c r="H31" i="3" s="1"/>
  <c r="B31" i="3"/>
  <c r="K30" i="3"/>
  <c r="H30" i="3"/>
  <c r="C30" i="3"/>
  <c r="J30" i="3" s="1"/>
  <c r="B30" i="3"/>
  <c r="J29" i="3"/>
  <c r="E28" i="6" s="1"/>
  <c r="I29" i="3"/>
  <c r="D28" i="6" s="1"/>
  <c r="H29" i="3"/>
  <c r="C29" i="3"/>
  <c r="K29" i="3" s="1"/>
  <c r="B29" i="3"/>
  <c r="C28" i="3"/>
  <c r="K28" i="3" s="1"/>
  <c r="B28" i="3"/>
  <c r="C27" i="3"/>
  <c r="I27" i="3" s="1"/>
  <c r="B27" i="3"/>
  <c r="C26" i="3"/>
  <c r="K26" i="3" s="1"/>
  <c r="F25" i="6" s="1"/>
  <c r="B26" i="3"/>
  <c r="K25" i="3"/>
  <c r="J25" i="3"/>
  <c r="E24" i="6" s="1"/>
  <c r="I25" i="3"/>
  <c r="C25" i="3"/>
  <c r="H25" i="3" s="1"/>
  <c r="B25" i="3"/>
  <c r="I24" i="3"/>
  <c r="D23" i="6" s="1"/>
  <c r="C24" i="3"/>
  <c r="J24" i="3" s="1"/>
  <c r="B24" i="3"/>
  <c r="C23" i="3"/>
  <c r="I23" i="3" s="1"/>
  <c r="B23" i="3"/>
  <c r="K22" i="3"/>
  <c r="F21" i="6" s="1"/>
  <c r="H22" i="3"/>
  <c r="C22" i="3"/>
  <c r="I22" i="3" s="1"/>
  <c r="B22" i="3"/>
  <c r="I21" i="3"/>
  <c r="D20" i="6" s="1"/>
  <c r="C21" i="3"/>
  <c r="K21" i="3" s="1"/>
  <c r="F20" i="6" s="1"/>
  <c r="B21" i="3"/>
  <c r="J20" i="3"/>
  <c r="C20" i="3"/>
  <c r="K20" i="3" s="1"/>
  <c r="B20" i="3"/>
  <c r="C19" i="3"/>
  <c r="K19" i="3" s="1"/>
  <c r="B19" i="3"/>
  <c r="C18" i="3"/>
  <c r="K18" i="3" s="1"/>
  <c r="B18" i="3"/>
  <c r="C17" i="3"/>
  <c r="K17" i="3" s="1"/>
  <c r="B17" i="3"/>
  <c r="J16" i="3"/>
  <c r="E15" i="6" s="1"/>
  <c r="C16" i="3"/>
  <c r="I16" i="3" s="1"/>
  <c r="D15" i="6" s="1"/>
  <c r="B16" i="3"/>
  <c r="K15" i="3"/>
  <c r="F14" i="6" s="1"/>
  <c r="J15" i="3"/>
  <c r="I15" i="3"/>
  <c r="H15" i="3"/>
  <c r="C15" i="3"/>
  <c r="B15" i="3"/>
  <c r="K14" i="3"/>
  <c r="I14" i="3"/>
  <c r="D13" i="6" s="1"/>
  <c r="H14" i="3"/>
  <c r="C14" i="3"/>
  <c r="J14" i="3" s="1"/>
  <c r="B14" i="3"/>
  <c r="J13" i="3"/>
  <c r="H13" i="3"/>
  <c r="C13" i="3"/>
  <c r="I13" i="3" s="1"/>
  <c r="B13" i="3"/>
  <c r="J12" i="3"/>
  <c r="C12" i="3"/>
  <c r="K12" i="3" s="1"/>
  <c r="B12" i="3"/>
  <c r="C11" i="3"/>
  <c r="K11" i="3" s="1"/>
  <c r="B11" i="3"/>
  <c r="C10" i="3"/>
  <c r="K10" i="3" s="1"/>
  <c r="B10" i="3"/>
  <c r="C9" i="3"/>
  <c r="K9" i="3" s="1"/>
  <c r="B9" i="3"/>
  <c r="J8" i="3"/>
  <c r="C8" i="3"/>
  <c r="I8" i="3" s="1"/>
  <c r="B8" i="3"/>
  <c r="K7" i="3"/>
  <c r="J7" i="3"/>
  <c r="I7" i="3"/>
  <c r="D7" i="6" s="1"/>
  <c r="H7" i="3"/>
  <c r="C7" i="3"/>
  <c r="B7" i="3"/>
  <c r="K6" i="3"/>
  <c r="I6" i="3"/>
  <c r="H6" i="3"/>
  <c r="C6" i="3"/>
  <c r="J6" i="3" s="1"/>
  <c r="B6" i="3"/>
  <c r="H5" i="3"/>
  <c r="C5" i="3"/>
  <c r="I5" i="3" s="1"/>
  <c r="B5" i="3"/>
  <c r="S177" i="2"/>
  <c r="O177" i="2"/>
  <c r="R176" i="2"/>
  <c r="Q176" i="2"/>
  <c r="P176" i="2"/>
  <c r="F176" i="2"/>
  <c r="E176" i="2"/>
  <c r="R175" i="2"/>
  <c r="Q175" i="2"/>
  <c r="P175" i="2"/>
  <c r="F175" i="2"/>
  <c r="E175" i="2"/>
  <c r="R174" i="2"/>
  <c r="Q174" i="2"/>
  <c r="P174" i="2"/>
  <c r="F174" i="2"/>
  <c r="E174" i="2"/>
  <c r="G174" i="2" s="1"/>
  <c r="R173" i="2"/>
  <c r="Q173" i="2"/>
  <c r="P173" i="2"/>
  <c r="F173" i="2"/>
  <c r="E173" i="2"/>
  <c r="G173" i="2" s="1"/>
  <c r="R172" i="2"/>
  <c r="Q172" i="2"/>
  <c r="P172" i="2"/>
  <c r="F172" i="2"/>
  <c r="G172" i="2" s="1"/>
  <c r="E172" i="2"/>
  <c r="R171" i="2"/>
  <c r="Q171" i="2"/>
  <c r="P171" i="2"/>
  <c r="F171" i="2"/>
  <c r="E171" i="2"/>
  <c r="G171" i="2" s="1"/>
  <c r="R170" i="2"/>
  <c r="Q170" i="2"/>
  <c r="P170" i="2"/>
  <c r="F170" i="2"/>
  <c r="G170" i="2" s="1"/>
  <c r="E170" i="2"/>
  <c r="R169" i="2"/>
  <c r="Q169" i="2"/>
  <c r="P169" i="2"/>
  <c r="F169" i="2"/>
  <c r="E169" i="2"/>
  <c r="R168" i="2"/>
  <c r="Q168" i="2"/>
  <c r="P168" i="2"/>
  <c r="F168" i="2"/>
  <c r="E168" i="2"/>
  <c r="G168" i="2" s="1"/>
  <c r="R167" i="2"/>
  <c r="Q167" i="2"/>
  <c r="P167" i="2"/>
  <c r="F167" i="2"/>
  <c r="E167" i="2"/>
  <c r="G167" i="2" s="1"/>
  <c r="R166" i="2"/>
  <c r="Q166" i="2"/>
  <c r="P166" i="2"/>
  <c r="F166" i="2"/>
  <c r="E166" i="2"/>
  <c r="G166" i="2" s="1"/>
  <c r="R165" i="2"/>
  <c r="Q165" i="2"/>
  <c r="P165" i="2"/>
  <c r="F165" i="2"/>
  <c r="E165" i="2"/>
  <c r="R164" i="2"/>
  <c r="Q164" i="2"/>
  <c r="P164" i="2"/>
  <c r="F164" i="2"/>
  <c r="E164" i="2"/>
  <c r="G164" i="2" s="1"/>
  <c r="R163" i="2"/>
  <c r="Q163" i="2"/>
  <c r="P163" i="2"/>
  <c r="F163" i="2"/>
  <c r="G163" i="2" s="1"/>
  <c r="E163" i="2"/>
  <c r="R162" i="2"/>
  <c r="Q162" i="2"/>
  <c r="P162" i="2"/>
  <c r="F162" i="2"/>
  <c r="E162" i="2"/>
  <c r="R161" i="2"/>
  <c r="Q161" i="2"/>
  <c r="P161" i="2"/>
  <c r="F161" i="2"/>
  <c r="E161" i="2"/>
  <c r="G161" i="2" s="1"/>
  <c r="R160" i="2"/>
  <c r="Q160" i="2"/>
  <c r="P160" i="2"/>
  <c r="F160" i="2"/>
  <c r="E160" i="2"/>
  <c r="G160" i="2" s="1"/>
  <c r="R159" i="2"/>
  <c r="Q159" i="2"/>
  <c r="P159" i="2"/>
  <c r="F159" i="2"/>
  <c r="E159" i="2"/>
  <c r="R158" i="2"/>
  <c r="Q158" i="2"/>
  <c r="P158" i="2"/>
  <c r="F158" i="2"/>
  <c r="E158" i="2"/>
  <c r="G158" i="2" s="1"/>
  <c r="R157" i="2"/>
  <c r="Q157" i="2"/>
  <c r="P157" i="2"/>
  <c r="F157" i="2"/>
  <c r="E157" i="2"/>
  <c r="R156" i="2"/>
  <c r="Q156" i="2"/>
  <c r="P156" i="2"/>
  <c r="G156" i="2"/>
  <c r="F156" i="2"/>
  <c r="E156" i="2"/>
  <c r="R155" i="2"/>
  <c r="Q155" i="2"/>
  <c r="P155" i="2"/>
  <c r="F155" i="2"/>
  <c r="E155" i="2"/>
  <c r="G155" i="2" s="1"/>
  <c r="R154" i="2"/>
  <c r="Q154" i="2"/>
  <c r="P154" i="2"/>
  <c r="F154" i="2"/>
  <c r="E154" i="2"/>
  <c r="R153" i="2"/>
  <c r="Q153" i="2"/>
  <c r="P153" i="2"/>
  <c r="F153" i="2"/>
  <c r="E153" i="2"/>
  <c r="R152" i="2"/>
  <c r="Q152" i="2"/>
  <c r="P152" i="2"/>
  <c r="F152" i="2"/>
  <c r="E152" i="2"/>
  <c r="G152" i="2" s="1"/>
  <c r="R151" i="2"/>
  <c r="Q151" i="2"/>
  <c r="P151" i="2"/>
  <c r="F151" i="2"/>
  <c r="E151" i="2"/>
  <c r="R150" i="2"/>
  <c r="Q150" i="2"/>
  <c r="P150" i="2"/>
  <c r="F150" i="2"/>
  <c r="E150" i="2"/>
  <c r="R149" i="2"/>
  <c r="Q149" i="2"/>
  <c r="P149" i="2"/>
  <c r="F149" i="2"/>
  <c r="E149" i="2"/>
  <c r="R148" i="2"/>
  <c r="Q148" i="2"/>
  <c r="P148" i="2"/>
  <c r="G148" i="2"/>
  <c r="F148" i="2"/>
  <c r="E148" i="2"/>
  <c r="R147" i="2"/>
  <c r="Q147" i="2"/>
  <c r="P147" i="2"/>
  <c r="G147" i="2"/>
  <c r="F147" i="2"/>
  <c r="E147" i="2"/>
  <c r="R146" i="2"/>
  <c r="Q146" i="2"/>
  <c r="P146" i="2"/>
  <c r="F146" i="2"/>
  <c r="E146" i="2"/>
  <c r="R145" i="2"/>
  <c r="Q145" i="2"/>
  <c r="P145" i="2"/>
  <c r="F145" i="2"/>
  <c r="E145" i="2"/>
  <c r="R144" i="2"/>
  <c r="Q144" i="2"/>
  <c r="P144" i="2"/>
  <c r="F144" i="2"/>
  <c r="E144" i="2"/>
  <c r="R143" i="2"/>
  <c r="Q143" i="2"/>
  <c r="P143" i="2"/>
  <c r="F143" i="2"/>
  <c r="E143" i="2"/>
  <c r="R142" i="2"/>
  <c r="Q142" i="2"/>
  <c r="P142" i="2"/>
  <c r="F142" i="2"/>
  <c r="E142" i="2"/>
  <c r="R141" i="2"/>
  <c r="Q141" i="2"/>
  <c r="P141" i="2"/>
  <c r="F141" i="2"/>
  <c r="E141" i="2"/>
  <c r="G141" i="2" s="1"/>
  <c r="R140" i="2"/>
  <c r="Q140" i="2"/>
  <c r="P140" i="2"/>
  <c r="F140" i="2"/>
  <c r="G140" i="2" s="1"/>
  <c r="E140" i="2"/>
  <c r="R139" i="2"/>
  <c r="Q139" i="2"/>
  <c r="P139" i="2"/>
  <c r="F139" i="2"/>
  <c r="E139" i="2"/>
  <c r="G139" i="2" s="1"/>
  <c r="R138" i="2"/>
  <c r="Q138" i="2"/>
  <c r="P138" i="2"/>
  <c r="F138" i="2"/>
  <c r="E138" i="2"/>
  <c r="R137" i="2"/>
  <c r="Q137" i="2"/>
  <c r="P137" i="2"/>
  <c r="F137" i="2"/>
  <c r="E137" i="2"/>
  <c r="R136" i="2"/>
  <c r="Q136" i="2"/>
  <c r="P136" i="2"/>
  <c r="F136" i="2"/>
  <c r="E136" i="2"/>
  <c r="G136" i="2" s="1"/>
  <c r="R135" i="2"/>
  <c r="Q135" i="2"/>
  <c r="P135" i="2"/>
  <c r="F135" i="2"/>
  <c r="E135" i="2"/>
  <c r="G135" i="2" s="1"/>
  <c r="R134" i="2"/>
  <c r="Q134" i="2"/>
  <c r="P134" i="2"/>
  <c r="F134" i="2"/>
  <c r="E134" i="2"/>
  <c r="R133" i="2"/>
  <c r="Q133" i="2"/>
  <c r="P133" i="2"/>
  <c r="F133" i="2"/>
  <c r="E133" i="2"/>
  <c r="R132" i="2"/>
  <c r="Q132" i="2"/>
  <c r="P132" i="2"/>
  <c r="F132" i="2"/>
  <c r="G132" i="2" s="1"/>
  <c r="E132" i="2"/>
  <c r="R131" i="2"/>
  <c r="Q131" i="2"/>
  <c r="P131" i="2"/>
  <c r="F131" i="2"/>
  <c r="G131" i="2" s="1"/>
  <c r="E131" i="2"/>
  <c r="R130" i="2"/>
  <c r="Q130" i="2"/>
  <c r="P130" i="2"/>
  <c r="F130" i="2"/>
  <c r="E130" i="2"/>
  <c r="R129" i="2"/>
  <c r="Q129" i="2"/>
  <c r="P129" i="2"/>
  <c r="F129" i="2"/>
  <c r="E129" i="2"/>
  <c r="R128" i="2"/>
  <c r="Q128" i="2"/>
  <c r="P128" i="2"/>
  <c r="F128" i="2"/>
  <c r="E128" i="2"/>
  <c r="G128" i="2" s="1"/>
  <c r="R127" i="2"/>
  <c r="Q127" i="2"/>
  <c r="P127" i="2"/>
  <c r="F127" i="2"/>
  <c r="E127" i="2"/>
  <c r="G127" i="2" s="1"/>
  <c r="R126" i="2"/>
  <c r="Q126" i="2"/>
  <c r="P126" i="2"/>
  <c r="F126" i="2"/>
  <c r="E126" i="2"/>
  <c r="G126" i="2" s="1"/>
  <c r="R125" i="2"/>
  <c r="Q125" i="2"/>
  <c r="P125" i="2"/>
  <c r="F125" i="2"/>
  <c r="E125" i="2"/>
  <c r="R124" i="2"/>
  <c r="Q124" i="2"/>
  <c r="P124" i="2"/>
  <c r="F124" i="2"/>
  <c r="E124" i="2"/>
  <c r="R123" i="2"/>
  <c r="Q123" i="2"/>
  <c r="P123" i="2"/>
  <c r="F123" i="2"/>
  <c r="E123" i="2"/>
  <c r="G123" i="2" s="1"/>
  <c r="R122" i="2"/>
  <c r="Q122" i="2"/>
  <c r="P122" i="2"/>
  <c r="F122" i="2"/>
  <c r="G122" i="2" s="1"/>
  <c r="E122" i="2"/>
  <c r="R121" i="2"/>
  <c r="Q121" i="2"/>
  <c r="P121" i="2"/>
  <c r="F121" i="2"/>
  <c r="E121" i="2"/>
  <c r="G121" i="2" s="1"/>
  <c r="R120" i="2"/>
  <c r="Q120" i="2"/>
  <c r="P120" i="2"/>
  <c r="F120" i="2"/>
  <c r="E120" i="2"/>
  <c r="R119" i="2"/>
  <c r="Q119" i="2"/>
  <c r="P119" i="2"/>
  <c r="F119" i="2"/>
  <c r="E119" i="2"/>
  <c r="R118" i="2"/>
  <c r="Q118" i="2"/>
  <c r="P118" i="2"/>
  <c r="F118" i="2"/>
  <c r="E118" i="2"/>
  <c r="R117" i="2"/>
  <c r="Q117" i="2"/>
  <c r="P117" i="2"/>
  <c r="F117" i="2"/>
  <c r="E117" i="2"/>
  <c r="R116" i="2"/>
  <c r="Q116" i="2"/>
  <c r="P116" i="2"/>
  <c r="F116" i="2"/>
  <c r="E116" i="2"/>
  <c r="R115" i="2"/>
  <c r="Q115" i="2"/>
  <c r="P115" i="2"/>
  <c r="G115" i="2"/>
  <c r="F115" i="2"/>
  <c r="E115" i="2"/>
  <c r="R114" i="2"/>
  <c r="Q114" i="2"/>
  <c r="P114" i="2"/>
  <c r="F114" i="2"/>
  <c r="G114" i="2" s="1"/>
  <c r="E114" i="2"/>
  <c r="R113" i="2"/>
  <c r="Q113" i="2"/>
  <c r="P113" i="2"/>
  <c r="F113" i="2"/>
  <c r="E113" i="2"/>
  <c r="G113" i="2" s="1"/>
  <c r="R112" i="2"/>
  <c r="Q112" i="2"/>
  <c r="P112" i="2"/>
  <c r="F112" i="2"/>
  <c r="E112" i="2"/>
  <c r="R111" i="2"/>
  <c r="Q111" i="2"/>
  <c r="P111" i="2"/>
  <c r="F111" i="2"/>
  <c r="E111" i="2"/>
  <c r="G111" i="2" s="1"/>
  <c r="R110" i="2"/>
  <c r="Q110" i="2"/>
  <c r="P110" i="2"/>
  <c r="F110" i="2"/>
  <c r="E110" i="2"/>
  <c r="G110" i="2" s="1"/>
  <c r="R109" i="2"/>
  <c r="Q109" i="2"/>
  <c r="P109" i="2"/>
  <c r="F109" i="2"/>
  <c r="E109" i="2"/>
  <c r="R108" i="2"/>
  <c r="Q108" i="2"/>
  <c r="P108" i="2"/>
  <c r="F108" i="2"/>
  <c r="G108" i="2" s="1"/>
  <c r="E108" i="2"/>
  <c r="R107" i="2"/>
  <c r="Q107" i="2"/>
  <c r="P107" i="2"/>
  <c r="G107" i="2"/>
  <c r="F107" i="2"/>
  <c r="E107" i="2"/>
  <c r="R106" i="2"/>
  <c r="Q106" i="2"/>
  <c r="P106" i="2"/>
  <c r="F106" i="2"/>
  <c r="E106" i="2"/>
  <c r="R105" i="2"/>
  <c r="Q105" i="2"/>
  <c r="P105" i="2"/>
  <c r="F105" i="2"/>
  <c r="E105" i="2"/>
  <c r="R104" i="2"/>
  <c r="Q104" i="2"/>
  <c r="P104" i="2"/>
  <c r="F104" i="2"/>
  <c r="E104" i="2"/>
  <c r="R103" i="2"/>
  <c r="Q103" i="2"/>
  <c r="P103" i="2"/>
  <c r="F103" i="2"/>
  <c r="E103" i="2"/>
  <c r="G103" i="2" s="1"/>
  <c r="R102" i="2"/>
  <c r="Q102" i="2"/>
  <c r="P102" i="2"/>
  <c r="F102" i="2"/>
  <c r="E102" i="2"/>
  <c r="G102" i="2" s="1"/>
  <c r="R101" i="2"/>
  <c r="Q101" i="2"/>
  <c r="P101" i="2"/>
  <c r="F101" i="2"/>
  <c r="E101" i="2"/>
  <c r="G101" i="2" s="1"/>
  <c r="R100" i="2"/>
  <c r="Q100" i="2"/>
  <c r="P100" i="2"/>
  <c r="F100" i="2"/>
  <c r="G100" i="2" s="1"/>
  <c r="E100" i="2"/>
  <c r="R99" i="2"/>
  <c r="Q99" i="2"/>
  <c r="P99" i="2"/>
  <c r="F99" i="2"/>
  <c r="E99" i="2"/>
  <c r="G99" i="2" s="1"/>
  <c r="R98" i="2"/>
  <c r="Q98" i="2"/>
  <c r="P98" i="2"/>
  <c r="F98" i="2"/>
  <c r="E98" i="2"/>
  <c r="G98" i="2" s="1"/>
  <c r="R97" i="2"/>
  <c r="Q97" i="2"/>
  <c r="P97" i="2"/>
  <c r="F97" i="2"/>
  <c r="E97" i="2"/>
  <c r="R96" i="2"/>
  <c r="Q96" i="2"/>
  <c r="P96" i="2"/>
  <c r="F96" i="2"/>
  <c r="E96" i="2"/>
  <c r="G96" i="2" s="1"/>
  <c r="R95" i="2"/>
  <c r="Q95" i="2"/>
  <c r="P95" i="2"/>
  <c r="F95" i="2"/>
  <c r="E95" i="2"/>
  <c r="R94" i="2"/>
  <c r="Q94" i="2"/>
  <c r="P94" i="2"/>
  <c r="F94" i="2"/>
  <c r="E94" i="2"/>
  <c r="R93" i="2"/>
  <c r="Q93" i="2"/>
  <c r="P93" i="2"/>
  <c r="F93" i="2"/>
  <c r="E93" i="2"/>
  <c r="R92" i="2"/>
  <c r="Q92" i="2"/>
  <c r="P92" i="2"/>
  <c r="F92" i="2"/>
  <c r="G92" i="2" s="1"/>
  <c r="E92" i="2"/>
  <c r="R91" i="2"/>
  <c r="Q91" i="2"/>
  <c r="P91" i="2"/>
  <c r="F91" i="2"/>
  <c r="E91" i="2"/>
  <c r="G91" i="2" s="1"/>
  <c r="R90" i="2"/>
  <c r="Q90" i="2"/>
  <c r="P90" i="2"/>
  <c r="F90" i="2"/>
  <c r="E90" i="2"/>
  <c r="R89" i="2"/>
  <c r="Q89" i="2"/>
  <c r="P89" i="2"/>
  <c r="F89" i="2"/>
  <c r="E89" i="2"/>
  <c r="R88" i="2"/>
  <c r="Q88" i="2"/>
  <c r="P88" i="2"/>
  <c r="F88" i="2"/>
  <c r="E88" i="2"/>
  <c r="G88" i="2" s="1"/>
  <c r="R87" i="2"/>
  <c r="Q87" i="2"/>
  <c r="P87" i="2"/>
  <c r="F87" i="2"/>
  <c r="E87" i="2"/>
  <c r="R86" i="2"/>
  <c r="Q86" i="2"/>
  <c r="P86" i="2"/>
  <c r="F86" i="2"/>
  <c r="E86" i="2"/>
  <c r="G86" i="2" s="1"/>
  <c r="R85" i="2"/>
  <c r="Q85" i="2"/>
  <c r="P85" i="2"/>
  <c r="F85" i="2"/>
  <c r="E85" i="2"/>
  <c r="G85" i="2" s="1"/>
  <c r="R84" i="2"/>
  <c r="Q84" i="2"/>
  <c r="P84" i="2"/>
  <c r="F84" i="2"/>
  <c r="G84" i="2" s="1"/>
  <c r="E84" i="2"/>
  <c r="R83" i="2"/>
  <c r="Q83" i="2"/>
  <c r="P83" i="2"/>
  <c r="F83" i="2"/>
  <c r="E83" i="2"/>
  <c r="G83" i="2" s="1"/>
  <c r="R82" i="2"/>
  <c r="Q82" i="2"/>
  <c r="P82" i="2"/>
  <c r="F82" i="2"/>
  <c r="E82" i="2"/>
  <c r="R81" i="2"/>
  <c r="Q81" i="2"/>
  <c r="P81" i="2"/>
  <c r="F81" i="2"/>
  <c r="E81" i="2"/>
  <c r="R80" i="2"/>
  <c r="Q80" i="2"/>
  <c r="P80" i="2"/>
  <c r="F80" i="2"/>
  <c r="E80" i="2"/>
  <c r="R79" i="2"/>
  <c r="Q79" i="2"/>
  <c r="P79" i="2"/>
  <c r="F79" i="2"/>
  <c r="E79" i="2"/>
  <c r="R78" i="2"/>
  <c r="Q78" i="2"/>
  <c r="P78" i="2"/>
  <c r="F78" i="2"/>
  <c r="E78" i="2"/>
  <c r="G78" i="2" s="1"/>
  <c r="R77" i="2"/>
  <c r="Q77" i="2"/>
  <c r="P77" i="2"/>
  <c r="F77" i="2"/>
  <c r="E77" i="2"/>
  <c r="G77" i="2" s="1"/>
  <c r="R76" i="2"/>
  <c r="Q76" i="2"/>
  <c r="P76" i="2"/>
  <c r="F76" i="2"/>
  <c r="E76" i="2"/>
  <c r="R75" i="2"/>
  <c r="Q75" i="2"/>
  <c r="P75" i="2"/>
  <c r="G75" i="2"/>
  <c r="F75" i="2"/>
  <c r="E75" i="2"/>
  <c r="R74" i="2"/>
  <c r="Q74" i="2"/>
  <c r="P74" i="2"/>
  <c r="F74" i="2"/>
  <c r="E74" i="2"/>
  <c r="R73" i="2"/>
  <c r="Q73" i="2"/>
  <c r="P73" i="2"/>
  <c r="F73" i="2"/>
  <c r="E73" i="2"/>
  <c r="G73" i="2" s="1"/>
  <c r="R72" i="2"/>
  <c r="Q72" i="2"/>
  <c r="P72" i="2"/>
  <c r="F72" i="2"/>
  <c r="E72" i="2"/>
  <c r="R71" i="2"/>
  <c r="Q71" i="2"/>
  <c r="P71" i="2"/>
  <c r="F71" i="2"/>
  <c r="E71" i="2"/>
  <c r="G71" i="2" s="1"/>
  <c r="R70" i="2"/>
  <c r="Q70" i="2"/>
  <c r="P70" i="2"/>
  <c r="F70" i="2"/>
  <c r="E70" i="2"/>
  <c r="R69" i="2"/>
  <c r="Q69" i="2"/>
  <c r="P69" i="2"/>
  <c r="F69" i="2"/>
  <c r="E69" i="2"/>
  <c r="R68" i="2"/>
  <c r="Q68" i="2"/>
  <c r="P68" i="2"/>
  <c r="F68" i="2"/>
  <c r="G68" i="2" s="1"/>
  <c r="E68" i="2"/>
  <c r="R67" i="2"/>
  <c r="Q67" i="2"/>
  <c r="P67" i="2"/>
  <c r="G67" i="2"/>
  <c r="F67" i="2"/>
  <c r="E67" i="2"/>
  <c r="R66" i="2"/>
  <c r="Q66" i="2"/>
  <c r="P66" i="2"/>
  <c r="F66" i="2"/>
  <c r="E66" i="2"/>
  <c r="R65" i="2"/>
  <c r="Q65" i="2"/>
  <c r="P65" i="2"/>
  <c r="F65" i="2"/>
  <c r="E65" i="2"/>
  <c r="R64" i="2"/>
  <c r="Q64" i="2"/>
  <c r="P64" i="2"/>
  <c r="F64" i="2"/>
  <c r="G64" i="2" s="1"/>
  <c r="E64" i="2"/>
  <c r="R63" i="2"/>
  <c r="Q63" i="2"/>
  <c r="P63" i="2"/>
  <c r="F63" i="2"/>
  <c r="E63" i="2"/>
  <c r="G63" i="2" s="1"/>
  <c r="R62" i="2"/>
  <c r="Q62" i="2"/>
  <c r="P62" i="2"/>
  <c r="F62" i="2"/>
  <c r="E62" i="2"/>
  <c r="R61" i="2"/>
  <c r="Q61" i="2"/>
  <c r="P61" i="2"/>
  <c r="F61" i="2"/>
  <c r="E61" i="2"/>
  <c r="G61" i="2" s="1"/>
  <c r="R60" i="2"/>
  <c r="Q60" i="2"/>
  <c r="P60" i="2"/>
  <c r="F60" i="2"/>
  <c r="E60" i="2"/>
  <c r="R59" i="2"/>
  <c r="Q59" i="2"/>
  <c r="P59" i="2"/>
  <c r="G59" i="2"/>
  <c r="F59" i="2"/>
  <c r="E59" i="2"/>
  <c r="R58" i="2"/>
  <c r="Q58" i="2"/>
  <c r="P58" i="2"/>
  <c r="F58" i="2"/>
  <c r="E58" i="2"/>
  <c r="G58" i="2" s="1"/>
  <c r="R57" i="2"/>
  <c r="Q57" i="2"/>
  <c r="P57" i="2"/>
  <c r="F57" i="2"/>
  <c r="E57" i="2"/>
  <c r="G57" i="2" s="1"/>
  <c r="R56" i="2"/>
  <c r="Q56" i="2"/>
  <c r="P56" i="2"/>
  <c r="F56" i="2"/>
  <c r="G56" i="2" s="1"/>
  <c r="E56" i="2"/>
  <c r="R55" i="2"/>
  <c r="Q55" i="2"/>
  <c r="P55" i="2"/>
  <c r="F55" i="2"/>
  <c r="E55" i="2"/>
  <c r="R54" i="2"/>
  <c r="Q54" i="2"/>
  <c r="P54" i="2"/>
  <c r="F54" i="2"/>
  <c r="E54" i="2"/>
  <c r="R53" i="2"/>
  <c r="Q53" i="2"/>
  <c r="P53" i="2"/>
  <c r="F53" i="2"/>
  <c r="E53" i="2"/>
  <c r="G53" i="2" s="1"/>
  <c r="R52" i="2"/>
  <c r="Q52" i="2"/>
  <c r="P52" i="2"/>
  <c r="F52" i="2"/>
  <c r="E52" i="2"/>
  <c r="R51" i="2"/>
  <c r="Q51" i="2"/>
  <c r="P51" i="2"/>
  <c r="F51" i="2"/>
  <c r="G51" i="2" s="1"/>
  <c r="E51" i="2"/>
  <c r="R50" i="2"/>
  <c r="Q50" i="2"/>
  <c r="P50" i="2"/>
  <c r="F50" i="2"/>
  <c r="E50" i="2"/>
  <c r="G50" i="2" s="1"/>
  <c r="R49" i="2"/>
  <c r="Q49" i="2"/>
  <c r="P49" i="2"/>
  <c r="F49" i="2"/>
  <c r="E49" i="2"/>
  <c r="G49" i="2" s="1"/>
  <c r="R48" i="2"/>
  <c r="Q48" i="2"/>
  <c r="P48" i="2"/>
  <c r="F48" i="2"/>
  <c r="E48" i="2"/>
  <c r="G48" i="2" s="1"/>
  <c r="R47" i="2"/>
  <c r="Q47" i="2"/>
  <c r="P47" i="2"/>
  <c r="F47" i="2"/>
  <c r="E47" i="2"/>
  <c r="R46" i="2"/>
  <c r="Q46" i="2"/>
  <c r="P46" i="2"/>
  <c r="F46" i="2"/>
  <c r="E46" i="2"/>
  <c r="G46" i="2" s="1"/>
  <c r="R45" i="2"/>
  <c r="Q45" i="2"/>
  <c r="P45" i="2"/>
  <c r="F45" i="2"/>
  <c r="E45" i="2"/>
  <c r="R44" i="2"/>
  <c r="Q44" i="2"/>
  <c r="P44" i="2"/>
  <c r="F44" i="2"/>
  <c r="G44" i="2" s="1"/>
  <c r="E44" i="2"/>
  <c r="R43" i="2"/>
  <c r="Q43" i="2"/>
  <c r="P43" i="2"/>
  <c r="F43" i="2"/>
  <c r="E43" i="2"/>
  <c r="G43" i="2" s="1"/>
  <c r="R42" i="2"/>
  <c r="Q42" i="2"/>
  <c r="P42" i="2"/>
  <c r="F42" i="2"/>
  <c r="E42" i="2"/>
  <c r="R41" i="2"/>
  <c r="Q41" i="2"/>
  <c r="P41" i="2"/>
  <c r="F41" i="2"/>
  <c r="E41" i="2"/>
  <c r="R40" i="2"/>
  <c r="Q40" i="2"/>
  <c r="P40" i="2"/>
  <c r="F40" i="2"/>
  <c r="E40" i="2"/>
  <c r="R39" i="2"/>
  <c r="Q39" i="2"/>
  <c r="P39" i="2"/>
  <c r="F39" i="2"/>
  <c r="E39" i="2"/>
  <c r="G39" i="2" s="1"/>
  <c r="R38" i="2"/>
  <c r="Q38" i="2"/>
  <c r="P38" i="2"/>
  <c r="F38" i="2"/>
  <c r="E38" i="2"/>
  <c r="G38" i="2" s="1"/>
  <c r="R37" i="2"/>
  <c r="Q37" i="2"/>
  <c r="P37" i="2"/>
  <c r="F37" i="2"/>
  <c r="E37" i="2"/>
  <c r="R36" i="2"/>
  <c r="Q36" i="2"/>
  <c r="P36" i="2"/>
  <c r="F36" i="2"/>
  <c r="E36" i="2"/>
  <c r="R35" i="2"/>
  <c r="Q35" i="2"/>
  <c r="P35" i="2"/>
  <c r="F35" i="2"/>
  <c r="E35" i="2"/>
  <c r="G35" i="2" s="1"/>
  <c r="R34" i="2"/>
  <c r="Q34" i="2"/>
  <c r="P34" i="2"/>
  <c r="F34" i="2"/>
  <c r="E34" i="2"/>
  <c r="R33" i="2"/>
  <c r="Q33" i="2"/>
  <c r="P33" i="2"/>
  <c r="F33" i="2"/>
  <c r="E33" i="2"/>
  <c r="G33" i="2" s="1"/>
  <c r="R32" i="2"/>
  <c r="Q32" i="2"/>
  <c r="P32" i="2"/>
  <c r="F32" i="2"/>
  <c r="E32" i="2"/>
  <c r="G32" i="2" s="1"/>
  <c r="R31" i="2"/>
  <c r="Q31" i="2"/>
  <c r="P31" i="2"/>
  <c r="F31" i="2"/>
  <c r="E31" i="2"/>
  <c r="R30" i="2"/>
  <c r="Q30" i="2"/>
  <c r="P30" i="2"/>
  <c r="F30" i="2"/>
  <c r="E30" i="2"/>
  <c r="R29" i="2"/>
  <c r="Q29" i="2"/>
  <c r="P29" i="2"/>
  <c r="F29" i="2"/>
  <c r="E29" i="2"/>
  <c r="R28" i="2"/>
  <c r="Q28" i="2"/>
  <c r="P28" i="2"/>
  <c r="F28" i="2"/>
  <c r="E28" i="2"/>
  <c r="R27" i="2"/>
  <c r="Q27" i="2"/>
  <c r="P27" i="2"/>
  <c r="F27" i="2"/>
  <c r="E27" i="2"/>
  <c r="G27" i="2" s="1"/>
  <c r="R26" i="2"/>
  <c r="Q26" i="2"/>
  <c r="P26" i="2"/>
  <c r="F26" i="2"/>
  <c r="E26" i="2"/>
  <c r="R25" i="2"/>
  <c r="Q25" i="2"/>
  <c r="P25" i="2"/>
  <c r="F25" i="2"/>
  <c r="E25" i="2"/>
  <c r="G25" i="2" s="1"/>
  <c r="R24" i="2"/>
  <c r="Q24" i="2"/>
  <c r="P24" i="2"/>
  <c r="F24" i="2"/>
  <c r="E24" i="2"/>
  <c r="G24" i="2" s="1"/>
  <c r="R23" i="2"/>
  <c r="Q23" i="2"/>
  <c r="P23" i="2"/>
  <c r="F23" i="2"/>
  <c r="E23" i="2"/>
  <c r="G23" i="2" s="1"/>
  <c r="R22" i="2"/>
  <c r="Q22" i="2"/>
  <c r="P22" i="2"/>
  <c r="F22" i="2"/>
  <c r="E22" i="2"/>
  <c r="R21" i="2"/>
  <c r="Q21" i="2"/>
  <c r="P21" i="2"/>
  <c r="F21" i="2"/>
  <c r="E21" i="2"/>
  <c r="G21" i="2" s="1"/>
  <c r="R20" i="2"/>
  <c r="Q20" i="2"/>
  <c r="P20" i="2"/>
  <c r="F20" i="2"/>
  <c r="G20" i="2" s="1"/>
  <c r="E20" i="2"/>
  <c r="R19" i="2"/>
  <c r="Q19" i="2"/>
  <c r="P19" i="2"/>
  <c r="G19" i="2"/>
  <c r="F19" i="2"/>
  <c r="E19" i="2"/>
  <c r="R18" i="2"/>
  <c r="Q18" i="2"/>
  <c r="P18" i="2"/>
  <c r="F18" i="2"/>
  <c r="E18" i="2"/>
  <c r="G18" i="2" s="1"/>
  <c r="R17" i="2"/>
  <c r="Q17" i="2"/>
  <c r="P17" i="2"/>
  <c r="F17" i="2"/>
  <c r="E17" i="2"/>
  <c r="R16" i="2"/>
  <c r="Q16" i="2"/>
  <c r="P16" i="2"/>
  <c r="F16" i="2"/>
  <c r="E16" i="2"/>
  <c r="R15" i="2"/>
  <c r="Q15" i="2"/>
  <c r="P15" i="2"/>
  <c r="F15" i="2"/>
  <c r="E15" i="2"/>
  <c r="R14" i="2"/>
  <c r="Q14" i="2"/>
  <c r="P14" i="2"/>
  <c r="F14" i="2"/>
  <c r="E14" i="2"/>
  <c r="G14" i="2" s="1"/>
  <c r="R13" i="2"/>
  <c r="Q13" i="2"/>
  <c r="P13" i="2"/>
  <c r="F13" i="2"/>
  <c r="E13" i="2"/>
  <c r="G13" i="2" s="1"/>
  <c r="R12" i="2"/>
  <c r="Q12" i="2"/>
  <c r="P12" i="2"/>
  <c r="F12" i="2"/>
  <c r="G12" i="2" s="1"/>
  <c r="E12" i="2"/>
  <c r="R11" i="2"/>
  <c r="Q11" i="2"/>
  <c r="P11" i="2"/>
  <c r="F11" i="2"/>
  <c r="E11" i="2"/>
  <c r="G11" i="2" s="1"/>
  <c r="R10" i="2"/>
  <c r="Q10" i="2"/>
  <c r="P10" i="2"/>
  <c r="F10" i="2"/>
  <c r="E10" i="2"/>
  <c r="G10" i="2" s="1"/>
  <c r="R9" i="2"/>
  <c r="Q9" i="2"/>
  <c r="P9" i="2"/>
  <c r="F9" i="2"/>
  <c r="E9" i="2"/>
  <c r="R8" i="2"/>
  <c r="Q8" i="2"/>
  <c r="P8" i="2"/>
  <c r="F8" i="2"/>
  <c r="E8" i="2"/>
  <c r="G8" i="2" s="1"/>
  <c r="R7" i="2"/>
  <c r="Q7" i="2"/>
  <c r="P7" i="2"/>
  <c r="F7" i="2"/>
  <c r="E7" i="2"/>
  <c r="G7" i="2" s="1"/>
  <c r="R6" i="2"/>
  <c r="Q6" i="2"/>
  <c r="P6" i="2"/>
  <c r="F6" i="2"/>
  <c r="E6" i="2"/>
  <c r="R5" i="2"/>
  <c r="Q5" i="2"/>
  <c r="P5" i="2"/>
  <c r="F5" i="2"/>
  <c r="E5" i="2"/>
  <c r="G5" i="2" s="1"/>
  <c r="C26" i="1"/>
  <c r="C25" i="1"/>
  <c r="E6" i="6" l="1"/>
  <c r="E6" i="4"/>
  <c r="G17" i="2"/>
  <c r="G42" i="2"/>
  <c r="G45" i="2"/>
  <c r="G70" i="2"/>
  <c r="G76" i="2"/>
  <c r="G95" i="2"/>
  <c r="G120" i="2"/>
  <c r="G145" i="2"/>
  <c r="G151" i="2"/>
  <c r="G154" i="2"/>
  <c r="G157" i="2"/>
  <c r="K8" i="3"/>
  <c r="F8" i="6" s="1"/>
  <c r="K16" i="3"/>
  <c r="F15" i="6" s="1"/>
  <c r="I26" i="3"/>
  <c r="D25" i="6" s="1"/>
  <c r="H40" i="3"/>
  <c r="F25" i="4"/>
  <c r="G89" i="2"/>
  <c r="G117" i="2"/>
  <c r="G142" i="2"/>
  <c r="I40" i="3"/>
  <c r="G30" i="2"/>
  <c r="G36" i="2"/>
  <c r="G55" i="2"/>
  <c r="G80" i="2"/>
  <c r="G105" i="2"/>
  <c r="G130" i="2"/>
  <c r="G133" i="2"/>
  <c r="G176" i="2"/>
  <c r="H23" i="3"/>
  <c r="J32" i="3"/>
  <c r="E31" i="6" s="1"/>
  <c r="Q6" i="5"/>
  <c r="W13" i="5" s="1"/>
  <c r="D28" i="4"/>
  <c r="U6" i="5"/>
  <c r="S13" i="5" s="1"/>
  <c r="G52" i="2"/>
  <c r="G74" i="2"/>
  <c r="I37" i="3"/>
  <c r="D36" i="6" s="1"/>
  <c r="W6" i="5"/>
  <c r="P13" i="5" s="1"/>
  <c r="Q177" i="2"/>
  <c r="G15" i="2"/>
  <c r="G10" i="3" s="1"/>
  <c r="G40" i="2"/>
  <c r="G65" i="2"/>
  <c r="G90" i="2"/>
  <c r="G93" i="2"/>
  <c r="G118" i="2"/>
  <c r="G124" i="2"/>
  <c r="G143" i="2"/>
  <c r="U21" i="3" s="1"/>
  <c r="G20" i="6" s="1"/>
  <c r="G146" i="2"/>
  <c r="G149" i="2"/>
  <c r="J37" i="3"/>
  <c r="V7" i="5"/>
  <c r="Q14" i="5" s="1"/>
  <c r="K23" i="3"/>
  <c r="F22" i="6" s="1"/>
  <c r="P177" i="2"/>
  <c r="R177" i="2"/>
  <c r="G9" i="2"/>
  <c r="T27" i="3" s="1"/>
  <c r="J26" i="6" s="1"/>
  <c r="G34" i="2"/>
  <c r="G37" i="2"/>
  <c r="G62" i="2"/>
  <c r="G87" i="2"/>
  <c r="G112" i="2"/>
  <c r="G137" i="2"/>
  <c r="U8" i="5"/>
  <c r="J40" i="3"/>
  <c r="E39" i="4" s="1"/>
  <c r="G6" i="2"/>
  <c r="G31" i="2"/>
  <c r="G81" i="2"/>
  <c r="G106" i="2"/>
  <c r="G109" i="2"/>
  <c r="G134" i="2"/>
  <c r="Q9" i="5"/>
  <c r="F20" i="4"/>
  <c r="V9" i="5"/>
  <c r="G22" i="2"/>
  <c r="T26" i="3" s="1"/>
  <c r="J25" i="6" s="1"/>
  <c r="G28" i="2"/>
  <c r="G47" i="2"/>
  <c r="V9" i="3" s="1"/>
  <c r="H9" i="6" s="1"/>
  <c r="G72" i="2"/>
  <c r="G39" i="3" s="1"/>
  <c r="G97" i="2"/>
  <c r="F18" i="3" s="1"/>
  <c r="G125" i="2"/>
  <c r="G153" i="2"/>
  <c r="G159" i="2"/>
  <c r="G162" i="2"/>
  <c r="G165" i="2"/>
  <c r="K38" i="3"/>
  <c r="S10" i="5"/>
  <c r="G16" i="2"/>
  <c r="D19" i="3" s="1"/>
  <c r="G41" i="2"/>
  <c r="G66" i="2"/>
  <c r="G69" i="2"/>
  <c r="G94" i="2"/>
  <c r="G119" i="2"/>
  <c r="G144" i="2"/>
  <c r="G150" i="2"/>
  <c r="J5" i="3"/>
  <c r="H8" i="3"/>
  <c r="H16" i="3"/>
  <c r="I39" i="3"/>
  <c r="G116" i="2"/>
  <c r="G138" i="2"/>
  <c r="G26" i="2"/>
  <c r="G29" i="2"/>
  <c r="G54" i="2"/>
  <c r="G60" i="2"/>
  <c r="G79" i="2"/>
  <c r="G82" i="2"/>
  <c r="G104" i="2"/>
  <c r="G129" i="2"/>
  <c r="G169" i="2"/>
  <c r="G175" i="2"/>
  <c r="K5" i="3"/>
  <c r="K13" i="3"/>
  <c r="F12" i="4" s="1"/>
  <c r="E24" i="4"/>
  <c r="E20" i="7"/>
  <c r="D31" i="4"/>
  <c r="D31" i="6"/>
  <c r="F9" i="6"/>
  <c r="F9" i="4"/>
  <c r="F16" i="4"/>
  <c r="F16" i="6"/>
  <c r="D22" i="6"/>
  <c r="D22" i="4"/>
  <c r="F10" i="6"/>
  <c r="F10" i="4"/>
  <c r="F17" i="4"/>
  <c r="F17" i="6"/>
  <c r="F27" i="6"/>
  <c r="F27" i="4"/>
  <c r="F18" i="6"/>
  <c r="F18" i="4"/>
  <c r="E23" i="6"/>
  <c r="E23" i="4"/>
  <c r="F11" i="6"/>
  <c r="F11" i="4"/>
  <c r="F19" i="6"/>
  <c r="F19" i="4"/>
  <c r="D5" i="4"/>
  <c r="D5" i="6"/>
  <c r="D12" i="6"/>
  <c r="D12" i="4"/>
  <c r="F32" i="3"/>
  <c r="D39" i="3"/>
  <c r="E29" i="3"/>
  <c r="E39" i="3"/>
  <c r="T29" i="3"/>
  <c r="J28" i="6" s="1"/>
  <c r="G25" i="3"/>
  <c r="T30" i="3"/>
  <c r="J29" i="6" s="1"/>
  <c r="G37" i="3"/>
  <c r="U27" i="3"/>
  <c r="G26" i="6" s="1"/>
  <c r="G11" i="3"/>
  <c r="S11" i="3" s="1"/>
  <c r="D12" i="3"/>
  <c r="T6" i="3"/>
  <c r="J6" i="6" s="1"/>
  <c r="E11" i="3"/>
  <c r="Q11" i="3" s="1"/>
  <c r="W20" i="3"/>
  <c r="I19" i="6" s="1"/>
  <c r="U24" i="3"/>
  <c r="G23" i="6" s="1"/>
  <c r="D29" i="3"/>
  <c r="V33" i="3"/>
  <c r="H32" i="6" s="1"/>
  <c r="E30" i="3"/>
  <c r="V27" i="3"/>
  <c r="H26" i="6" s="1"/>
  <c r="D16" i="3"/>
  <c r="F15" i="3"/>
  <c r="T10" i="3"/>
  <c r="J10" i="6" s="1"/>
  <c r="E11" i="4"/>
  <c r="E11" i="6"/>
  <c r="E19" i="6"/>
  <c r="E19" i="4"/>
  <c r="E32" i="6"/>
  <c r="E32" i="4"/>
  <c r="E5" i="6"/>
  <c r="E5" i="4"/>
  <c r="E12" i="4"/>
  <c r="E12" i="6"/>
  <c r="J23" i="3"/>
  <c r="K24" i="3"/>
  <c r="F24" i="6"/>
  <c r="F24" i="4"/>
  <c r="F35" i="4"/>
  <c r="F35" i="6"/>
  <c r="E37" i="4"/>
  <c r="E13" i="6"/>
  <c r="E13" i="4"/>
  <c r="I31" i="3"/>
  <c r="J39" i="3"/>
  <c r="D13" i="4"/>
  <c r="D38" i="4"/>
  <c r="D38" i="6"/>
  <c r="F6" i="6"/>
  <c r="F6" i="4"/>
  <c r="F13" i="6"/>
  <c r="F13" i="4"/>
  <c r="D14" i="4"/>
  <c r="D14" i="6"/>
  <c r="F28" i="4"/>
  <c r="F28" i="6"/>
  <c r="J31" i="3"/>
  <c r="K39" i="3"/>
  <c r="D15" i="4"/>
  <c r="J35" i="3"/>
  <c r="I35" i="3"/>
  <c r="E7" i="6"/>
  <c r="E7" i="4"/>
  <c r="E14" i="6"/>
  <c r="E14" i="4"/>
  <c r="K31" i="3"/>
  <c r="E15" i="4"/>
  <c r="F12" i="6"/>
  <c r="F7" i="6"/>
  <c r="F7" i="4"/>
  <c r="D8" i="6"/>
  <c r="D8" i="4"/>
  <c r="K34" i="3"/>
  <c r="I34" i="3"/>
  <c r="H35" i="3"/>
  <c r="D7" i="4"/>
  <c r="F15" i="4"/>
  <c r="F21" i="4"/>
  <c r="M12" i="9" a="1"/>
  <c r="F5" i="6"/>
  <c r="F5" i="4"/>
  <c r="E8" i="4"/>
  <c r="E8" i="6"/>
  <c r="H9" i="3"/>
  <c r="H17" i="3"/>
  <c r="F29" i="6"/>
  <c r="F29" i="4"/>
  <c r="K35" i="3"/>
  <c r="D6" i="6"/>
  <c r="D6" i="4"/>
  <c r="I9" i="3"/>
  <c r="I17" i="3"/>
  <c r="D26" i="6"/>
  <c r="D26" i="4"/>
  <c r="D20" i="4"/>
  <c r="J9" i="3"/>
  <c r="H10" i="3"/>
  <c r="J17" i="3"/>
  <c r="H18" i="3"/>
  <c r="H28" i="3"/>
  <c r="F36" i="6"/>
  <c r="F36" i="4"/>
  <c r="F39" i="4"/>
  <c r="F39" i="6"/>
  <c r="F31" i="4"/>
  <c r="F31" i="6"/>
  <c r="I10" i="3"/>
  <c r="I18" i="3"/>
  <c r="D21" i="4"/>
  <c r="D21" i="6"/>
  <c r="I28" i="3"/>
  <c r="J10" i="3"/>
  <c r="H11" i="3"/>
  <c r="J18" i="3"/>
  <c r="H19" i="3"/>
  <c r="J28" i="3"/>
  <c r="H34" i="3"/>
  <c r="F8" i="4"/>
  <c r="F22" i="4"/>
  <c r="E29" i="6"/>
  <c r="E29" i="4"/>
  <c r="I11" i="3"/>
  <c r="I19" i="3"/>
  <c r="H27" i="3"/>
  <c r="J34" i="3"/>
  <c r="D39" i="4"/>
  <c r="D39" i="6"/>
  <c r="F14" i="4"/>
  <c r="J11" i="3"/>
  <c r="H12" i="3"/>
  <c r="J19" i="3"/>
  <c r="H20" i="3"/>
  <c r="J27" i="3"/>
  <c r="D23" i="4"/>
  <c r="I16" i="7"/>
  <c r="I19" i="7"/>
  <c r="W43" i="5"/>
  <c r="C12" i="8"/>
  <c r="I17" i="7"/>
  <c r="I18" i="7"/>
  <c r="I12" i="3"/>
  <c r="I20" i="3"/>
  <c r="H21" i="3"/>
  <c r="H24" i="3"/>
  <c r="H26" i="3"/>
  <c r="K27" i="3"/>
  <c r="D32" i="6"/>
  <c r="D32" i="4"/>
  <c r="J36" i="3"/>
  <c r="H36" i="3"/>
  <c r="E36" i="6"/>
  <c r="E36" i="4"/>
  <c r="D36" i="4"/>
  <c r="C8" i="8"/>
  <c r="S43" i="5"/>
  <c r="D24" i="4"/>
  <c r="D24" i="6"/>
  <c r="C5" i="8"/>
  <c r="P43" i="5"/>
  <c r="P15" i="5"/>
  <c r="J21" i="3"/>
  <c r="J22" i="3"/>
  <c r="J26" i="3"/>
  <c r="I36" i="3"/>
  <c r="E28" i="4"/>
  <c r="T6" i="5"/>
  <c r="T13" i="5" s="1"/>
  <c r="G19" i="7" s="1"/>
  <c r="P9" i="5"/>
  <c r="P26" i="5"/>
  <c r="V6" i="5"/>
  <c r="Q13" i="5" s="1"/>
  <c r="R9" i="5"/>
  <c r="P7" i="5"/>
  <c r="X14" i="5" s="1"/>
  <c r="P10" i="5"/>
  <c r="Q7" i="5"/>
  <c r="W14" i="5" s="1"/>
  <c r="W15" i="5" s="1"/>
  <c r="Q10" i="5"/>
  <c r="H7" i="8"/>
  <c r="R7" i="5"/>
  <c r="V14" i="5" s="1"/>
  <c r="R10" i="5"/>
  <c r="J18" i="9"/>
  <c r="P8" i="5"/>
  <c r="T10" i="5"/>
  <c r="Q8" i="5"/>
  <c r="U10" i="5"/>
  <c r="R8" i="5"/>
  <c r="V10" i="5"/>
  <c r="S8" i="5"/>
  <c r="C20" i="7"/>
  <c r="C19" i="8" s="1"/>
  <c r="W9" i="5"/>
  <c r="W7" i="5"/>
  <c r="P14" i="5" s="1"/>
  <c r="P6" i="5"/>
  <c r="X13" i="5" s="1"/>
  <c r="U9" i="5"/>
  <c r="U7" i="5"/>
  <c r="S14" i="5" s="1"/>
  <c r="S15" i="5" s="1"/>
  <c r="T9" i="5"/>
  <c r="T7" i="5"/>
  <c r="T14" i="5" s="1"/>
  <c r="S9" i="5"/>
  <c r="S7" i="5"/>
  <c r="U14" i="5" s="1"/>
  <c r="T8" i="5"/>
  <c r="P25" i="5"/>
  <c r="P23" i="5"/>
  <c r="P22" i="5"/>
  <c r="P21" i="5"/>
  <c r="I30" i="3"/>
  <c r="I38" i="3"/>
  <c r="R6" i="5"/>
  <c r="V13" i="5" s="1"/>
  <c r="V8" i="5"/>
  <c r="P20" i="5"/>
  <c r="S6" i="5"/>
  <c r="U13" i="5" s="1"/>
  <c r="W8" i="5"/>
  <c r="P24" i="5"/>
  <c r="E35" i="3" l="1"/>
  <c r="G30" i="3"/>
  <c r="U25" i="3"/>
  <c r="G24" i="6" s="1"/>
  <c r="V21" i="3"/>
  <c r="H20" i="6" s="1"/>
  <c r="W12" i="3"/>
  <c r="I11" i="6" s="1"/>
  <c r="F11" i="3"/>
  <c r="R11" i="3" s="1"/>
  <c r="E12" i="3"/>
  <c r="D5" i="3"/>
  <c r="E16" i="3"/>
  <c r="G33" i="3"/>
  <c r="G26" i="3"/>
  <c r="G32" i="3"/>
  <c r="W40" i="3"/>
  <c r="I39" i="6" s="1"/>
  <c r="W30" i="3"/>
  <c r="I29" i="6" s="1"/>
  <c r="V40" i="3"/>
  <c r="H39" i="6" s="1"/>
  <c r="D33" i="3"/>
  <c r="W13" i="3"/>
  <c r="I12" i="6" s="1"/>
  <c r="V6" i="3"/>
  <c r="H6" i="6" s="1"/>
  <c r="E5" i="3"/>
  <c r="W35" i="3"/>
  <c r="I34" i="6" s="1"/>
  <c r="V30" i="3"/>
  <c r="H29" i="6" s="1"/>
  <c r="D15" i="3"/>
  <c r="G40" i="3"/>
  <c r="U31" i="3"/>
  <c r="G30" i="6" s="1"/>
  <c r="G23" i="3"/>
  <c r="V34" i="3"/>
  <c r="H33" i="6" s="1"/>
  <c r="T23" i="3"/>
  <c r="J22" i="6" s="1"/>
  <c r="G18" i="3"/>
  <c r="V13" i="3"/>
  <c r="H12" i="6" s="1"/>
  <c r="U14" i="3"/>
  <c r="G13" i="6" s="1"/>
  <c r="T7" i="3"/>
  <c r="J7" i="6" s="1"/>
  <c r="W6" i="3"/>
  <c r="I6" i="6" s="1"/>
  <c r="U10" i="3"/>
  <c r="G10" i="6" s="1"/>
  <c r="D32" i="3"/>
  <c r="T17" i="3"/>
  <c r="J16" i="6" s="1"/>
  <c r="D36" i="3"/>
  <c r="G36" i="3"/>
  <c r="E24" i="3"/>
  <c r="T35" i="3"/>
  <c r="J34" i="6" s="1"/>
  <c r="U32" i="3"/>
  <c r="G31" i="6" s="1"/>
  <c r="V32" i="3"/>
  <c r="H31" i="6" s="1"/>
  <c r="V24" i="3"/>
  <c r="H23" i="6" s="1"/>
  <c r="E19" i="3"/>
  <c r="T14" i="3"/>
  <c r="J13" i="6" s="1"/>
  <c r="G19" i="3"/>
  <c r="F12" i="3"/>
  <c r="U7" i="3"/>
  <c r="G7" i="6" s="1"/>
  <c r="F5" i="3"/>
  <c r="V38" i="3"/>
  <c r="H37" i="6" s="1"/>
  <c r="G6" i="3"/>
  <c r="V37" i="3"/>
  <c r="H36" i="6" s="1"/>
  <c r="E37" i="3"/>
  <c r="W25" i="3"/>
  <c r="I24" i="6" s="1"/>
  <c r="F40" i="3"/>
  <c r="T18" i="3"/>
  <c r="J17" i="6" s="1"/>
  <c r="V36" i="3"/>
  <c r="H35" i="6" s="1"/>
  <c r="V25" i="3"/>
  <c r="H24" i="6" s="1"/>
  <c r="W21" i="3"/>
  <c r="I20" i="6" s="1"/>
  <c r="F19" i="3"/>
  <c r="E20" i="3"/>
  <c r="D13" i="3"/>
  <c r="G12" i="3"/>
  <c r="D6" i="3"/>
  <c r="V8" i="3"/>
  <c r="H8" i="6" s="1"/>
  <c r="E7" i="3"/>
  <c r="T38" i="3"/>
  <c r="J37" i="6" s="1"/>
  <c r="W38" i="3"/>
  <c r="I37" i="6" s="1"/>
  <c r="U26" i="3"/>
  <c r="G25" i="6" s="1"/>
  <c r="U22" i="3"/>
  <c r="G21" i="6" s="1"/>
  <c r="G8" i="3"/>
  <c r="E31" i="4"/>
  <c r="D28" i="3"/>
  <c r="V22" i="3"/>
  <c r="H21" i="6" s="1"/>
  <c r="D20" i="3"/>
  <c r="D21" i="3"/>
  <c r="V14" i="3"/>
  <c r="H13" i="6" s="1"/>
  <c r="E13" i="3"/>
  <c r="V7" i="3"/>
  <c r="H7" i="6" s="1"/>
  <c r="G5" i="3"/>
  <c r="W8" i="3"/>
  <c r="I8" i="6" s="1"/>
  <c r="G27" i="3"/>
  <c r="U39" i="3"/>
  <c r="G38" i="6" s="1"/>
  <c r="G31" i="3"/>
  <c r="U13" i="3"/>
  <c r="G12" i="6" s="1"/>
  <c r="V28" i="3"/>
  <c r="H27" i="6" s="1"/>
  <c r="V16" i="3"/>
  <c r="H15" i="6" s="1"/>
  <c r="F39" i="3"/>
  <c r="W10" i="3"/>
  <c r="I10" i="6" s="1"/>
  <c r="T12" i="3"/>
  <c r="J11" i="6" s="1"/>
  <c r="E10" i="3"/>
  <c r="T39" i="3"/>
  <c r="J38" i="6" s="1"/>
  <c r="G29" i="3"/>
  <c r="V23" i="3"/>
  <c r="H22" i="6" s="1"/>
  <c r="W22" i="3"/>
  <c r="I21" i="6" s="1"/>
  <c r="D26" i="3"/>
  <c r="T15" i="3"/>
  <c r="J14" i="6" s="1"/>
  <c r="W14" i="3"/>
  <c r="I13" i="6" s="1"/>
  <c r="T8" i="3"/>
  <c r="J8" i="6" s="1"/>
  <c r="E6" i="3"/>
  <c r="U9" i="3"/>
  <c r="G9" i="6" s="1"/>
  <c r="E28" i="3"/>
  <c r="D30" i="3"/>
  <c r="E32" i="3"/>
  <c r="W26" i="3"/>
  <c r="I25" i="6" s="1"/>
  <c r="U36" i="3"/>
  <c r="G35" i="6" s="1"/>
  <c r="E38" i="3"/>
  <c r="U11" i="3"/>
  <c r="F17" i="3"/>
  <c r="W11" i="3"/>
  <c r="F31" i="3"/>
  <c r="W32" i="3"/>
  <c r="I31" i="6" s="1"/>
  <c r="W24" i="3"/>
  <c r="I23" i="6" s="1"/>
  <c r="W23" i="3"/>
  <c r="I22" i="6" s="1"/>
  <c r="E27" i="3"/>
  <c r="F20" i="3"/>
  <c r="U15" i="3"/>
  <c r="G14" i="6" s="1"/>
  <c r="F13" i="3"/>
  <c r="W7" i="3"/>
  <c r="I7" i="6" s="1"/>
  <c r="G14" i="3"/>
  <c r="W29" i="3"/>
  <c r="I28" i="6" s="1"/>
  <c r="V31" i="3"/>
  <c r="H30" i="6" s="1"/>
  <c r="W33" i="3"/>
  <c r="I32" i="6" s="1"/>
  <c r="T36" i="3"/>
  <c r="J35" i="6" s="1"/>
  <c r="F9" i="3"/>
  <c r="E9" i="3"/>
  <c r="G16" i="3"/>
  <c r="D18" i="3"/>
  <c r="U12" i="3"/>
  <c r="G11" i="6" s="1"/>
  <c r="T5" i="3"/>
  <c r="D34" i="3"/>
  <c r="F28" i="3"/>
  <c r="D27" i="3"/>
  <c r="W31" i="3"/>
  <c r="I30" i="6" s="1"/>
  <c r="E21" i="3"/>
  <c r="G20" i="3"/>
  <c r="D14" i="3"/>
  <c r="U8" i="3"/>
  <c r="G8" i="6" s="1"/>
  <c r="E15" i="3"/>
  <c r="U30" i="3"/>
  <c r="G29" i="6" s="1"/>
  <c r="T32" i="3"/>
  <c r="J31" i="6" s="1"/>
  <c r="U34" i="3"/>
  <c r="G33" i="6" s="1"/>
  <c r="F35" i="3"/>
  <c r="E31" i="3"/>
  <c r="T34" i="3"/>
  <c r="J33" i="6" s="1"/>
  <c r="W36" i="3"/>
  <c r="I35" i="6" s="1"/>
  <c r="F21" i="3"/>
  <c r="V15" i="3"/>
  <c r="H14" i="6" s="1"/>
  <c r="G13" i="3"/>
  <c r="W16" i="3"/>
  <c r="I15" i="6" s="1"/>
  <c r="G35" i="3"/>
  <c r="F37" i="3"/>
  <c r="U33" i="3"/>
  <c r="G32" i="6" s="1"/>
  <c r="U37" i="3"/>
  <c r="G36" i="6" s="1"/>
  <c r="G9" i="3"/>
  <c r="E18" i="3"/>
  <c r="D11" i="3"/>
  <c r="P11" i="3" s="1"/>
  <c r="G38" i="3"/>
  <c r="F6" i="3"/>
  <c r="R6" i="3" s="1"/>
  <c r="F34" i="3"/>
  <c r="G34" i="3"/>
  <c r="S34" i="3" s="1"/>
  <c r="E25" i="3"/>
  <c r="E22" i="3"/>
  <c r="T16" i="3"/>
  <c r="J15" i="6" s="1"/>
  <c r="E14" i="3"/>
  <c r="U17" i="3"/>
  <c r="G16" i="6" s="1"/>
  <c r="E36" i="3"/>
  <c r="D38" i="3"/>
  <c r="E40" i="3"/>
  <c r="G15" i="3"/>
  <c r="D7" i="3"/>
  <c r="F8" i="3"/>
  <c r="E17" i="3"/>
  <c r="E34" i="3"/>
  <c r="G33" i="4" s="1"/>
  <c r="F36" i="3"/>
  <c r="R36" i="3" s="1"/>
  <c r="U40" i="3"/>
  <c r="G39" i="6" s="1"/>
  <c r="T21" i="3"/>
  <c r="J20" i="6" s="1"/>
  <c r="W19" i="3"/>
  <c r="I18" i="6" s="1"/>
  <c r="V12" i="3"/>
  <c r="H11" i="6" s="1"/>
  <c r="W39" i="3"/>
  <c r="I38" i="6" s="1"/>
  <c r="G7" i="3"/>
  <c r="E8" i="3"/>
  <c r="G8" i="4" s="1"/>
  <c r="U35" i="3"/>
  <c r="G34" i="6" s="1"/>
  <c r="E26" i="3"/>
  <c r="D23" i="3"/>
  <c r="G21" i="3"/>
  <c r="W15" i="3"/>
  <c r="I14" i="6" s="1"/>
  <c r="U28" i="3"/>
  <c r="G27" i="6" s="1"/>
  <c r="W37" i="3"/>
  <c r="I36" i="6" s="1"/>
  <c r="V39" i="3"/>
  <c r="H38" i="6" s="1"/>
  <c r="F24" i="3"/>
  <c r="H23" i="4" s="1"/>
  <c r="F37" i="6"/>
  <c r="F37" i="4"/>
  <c r="V17" i="3"/>
  <c r="H16" i="6" s="1"/>
  <c r="D10" i="3"/>
  <c r="T28" i="3"/>
  <c r="J27" i="6" s="1"/>
  <c r="G17" i="3"/>
  <c r="T31" i="3"/>
  <c r="J30" i="6" s="1"/>
  <c r="U20" i="3"/>
  <c r="G19" i="6" s="1"/>
  <c r="D17" i="3"/>
  <c r="V20" i="3"/>
  <c r="H19" i="6" s="1"/>
  <c r="T13" i="3"/>
  <c r="J12" i="6" s="1"/>
  <c r="U18" i="3"/>
  <c r="G17" i="6" s="1"/>
  <c r="W28" i="3"/>
  <c r="I27" i="6" s="1"/>
  <c r="W17" i="3"/>
  <c r="I16" i="6" s="1"/>
  <c r="D37" i="3"/>
  <c r="J36" i="4" s="1"/>
  <c r="F27" i="3"/>
  <c r="H26" i="4" s="1"/>
  <c r="D24" i="3"/>
  <c r="F22" i="3"/>
  <c r="H21" i="4" s="1"/>
  <c r="U16" i="3"/>
  <c r="G15" i="6" s="1"/>
  <c r="V29" i="3"/>
  <c r="H28" i="6" s="1"/>
  <c r="U38" i="3"/>
  <c r="G37" i="6" s="1"/>
  <c r="T40" i="3"/>
  <c r="J39" i="6" s="1"/>
  <c r="D25" i="3"/>
  <c r="J24" i="4" s="1"/>
  <c r="D35" i="3"/>
  <c r="P35" i="3" s="1"/>
  <c r="F14" i="3"/>
  <c r="U29" i="3"/>
  <c r="G28" i="6" s="1"/>
  <c r="V19" i="3"/>
  <c r="H18" i="6" s="1"/>
  <c r="E33" i="3"/>
  <c r="Q33" i="3" s="1"/>
  <c r="T11" i="3"/>
  <c r="U19" i="3"/>
  <c r="G18" i="6" s="1"/>
  <c r="T20" i="3"/>
  <c r="J19" i="6" s="1"/>
  <c r="V18" i="3"/>
  <c r="H17" i="6" s="1"/>
  <c r="T25" i="3"/>
  <c r="J24" i="6" s="1"/>
  <c r="U5" i="3"/>
  <c r="U41" i="3" s="1"/>
  <c r="T37" i="3"/>
  <c r="J36" i="6" s="1"/>
  <c r="W5" i="3"/>
  <c r="I5" i="6" s="1"/>
  <c r="D40" i="3"/>
  <c r="F33" i="3"/>
  <c r="F25" i="3"/>
  <c r="H24" i="4" s="1"/>
  <c r="E23" i="3"/>
  <c r="E41" i="3" s="1"/>
  <c r="G22" i="3"/>
  <c r="D31" i="3"/>
  <c r="U23" i="3"/>
  <c r="G22" i="6" s="1"/>
  <c r="T33" i="3"/>
  <c r="J32" i="6" s="1"/>
  <c r="V26" i="3"/>
  <c r="H25" i="6" s="1"/>
  <c r="F29" i="3"/>
  <c r="H28" i="4" s="1"/>
  <c r="T9" i="3"/>
  <c r="J9" i="6" s="1"/>
  <c r="V11" i="3"/>
  <c r="V41" i="3" s="1"/>
  <c r="D25" i="4"/>
  <c r="D9" i="3"/>
  <c r="P9" i="3" s="1"/>
  <c r="V10" i="3"/>
  <c r="H10" i="6" s="1"/>
  <c r="F10" i="3"/>
  <c r="D22" i="3"/>
  <c r="W18" i="3"/>
  <c r="I17" i="6" s="1"/>
  <c r="E39" i="6"/>
  <c r="F16" i="3"/>
  <c r="R16" i="3" s="1"/>
  <c r="F7" i="3"/>
  <c r="R7" i="3" s="1"/>
  <c r="T24" i="3"/>
  <c r="J23" i="6" s="1"/>
  <c r="D8" i="3"/>
  <c r="W27" i="3"/>
  <c r="I26" i="6" s="1"/>
  <c r="G18" i="7"/>
  <c r="T19" i="3"/>
  <c r="J18" i="6" s="1"/>
  <c r="F30" i="3"/>
  <c r="R30" i="3" s="1"/>
  <c r="T22" i="3"/>
  <c r="J21" i="6" s="1"/>
  <c r="V5" i="3"/>
  <c r="U6" i="3"/>
  <c r="G6" i="6" s="1"/>
  <c r="W9" i="3"/>
  <c r="I9" i="6" s="1"/>
  <c r="V35" i="3"/>
  <c r="H34" i="6" s="1"/>
  <c r="F26" i="3"/>
  <c r="H25" i="4" s="1"/>
  <c r="G24" i="3"/>
  <c r="G41" i="3" s="1"/>
  <c r="F23" i="3"/>
  <c r="W34" i="3"/>
  <c r="I33" i="6" s="1"/>
  <c r="G28" i="3"/>
  <c r="I27" i="4" s="1"/>
  <c r="F38" i="3"/>
  <c r="H37" i="4" s="1"/>
  <c r="E7" i="7" s="1"/>
  <c r="R7" i="7" s="1"/>
  <c r="H16" i="7"/>
  <c r="H19" i="7"/>
  <c r="C11" i="8"/>
  <c r="H18" i="7"/>
  <c r="J18" i="7" s="1"/>
  <c r="K18" i="7" s="1"/>
  <c r="V43" i="5"/>
  <c r="H17" i="7"/>
  <c r="V15" i="5"/>
  <c r="H35" i="4"/>
  <c r="K23" i="5"/>
  <c r="K6" i="5"/>
  <c r="D16" i="6"/>
  <c r="D16" i="4"/>
  <c r="J16" i="4"/>
  <c r="P17" i="3"/>
  <c r="K11" i="5"/>
  <c r="K25" i="5"/>
  <c r="K17" i="5"/>
  <c r="E18" i="6"/>
  <c r="E18" i="4"/>
  <c r="F34" i="6"/>
  <c r="F34" i="4"/>
  <c r="F33" i="6"/>
  <c r="F33" i="4"/>
  <c r="J28" i="4"/>
  <c r="P29" i="3"/>
  <c r="I36" i="4"/>
  <c r="F6" i="7" s="1"/>
  <c r="S37" i="3"/>
  <c r="I24" i="4"/>
  <c r="S25" i="3"/>
  <c r="G38" i="4"/>
  <c r="D8" i="7" s="1"/>
  <c r="N8" i="7" s="1"/>
  <c r="Q39" i="3"/>
  <c r="G28" i="4"/>
  <c r="Q29" i="3"/>
  <c r="J38" i="4"/>
  <c r="P39" i="3"/>
  <c r="H31" i="4"/>
  <c r="R32" i="3"/>
  <c r="K21" i="5"/>
  <c r="F38" i="6"/>
  <c r="F38" i="4"/>
  <c r="J32" i="4"/>
  <c r="P33" i="3"/>
  <c r="K39" i="5"/>
  <c r="J11" i="4"/>
  <c r="P12" i="3"/>
  <c r="G5" i="4"/>
  <c r="Q5" i="3"/>
  <c r="J14" i="4"/>
  <c r="P15" i="3"/>
  <c r="S40" i="3"/>
  <c r="I39" i="4"/>
  <c r="F9" i="7" s="1"/>
  <c r="P9" i="7" s="1"/>
  <c r="I22" i="4"/>
  <c r="S23" i="3"/>
  <c r="G34" i="4"/>
  <c r="Q35" i="3"/>
  <c r="K38" i="5"/>
  <c r="I14" i="4"/>
  <c r="S15" i="3"/>
  <c r="R35" i="3"/>
  <c r="H34" i="4"/>
  <c r="I17" i="4"/>
  <c r="S18" i="3"/>
  <c r="J31" i="4"/>
  <c r="P32" i="3"/>
  <c r="J35" i="4"/>
  <c r="P36" i="3"/>
  <c r="I35" i="4"/>
  <c r="S36" i="3"/>
  <c r="G23" i="4"/>
  <c r="Q24" i="3"/>
  <c r="K31" i="5"/>
  <c r="F26" i="6"/>
  <c r="F26" i="4"/>
  <c r="E17" i="6"/>
  <c r="E17" i="4"/>
  <c r="I31" i="4"/>
  <c r="S32" i="3"/>
  <c r="K14" i="5"/>
  <c r="D37" i="6"/>
  <c r="D37" i="4"/>
  <c r="K36" i="5"/>
  <c r="E30" i="6"/>
  <c r="E30" i="4"/>
  <c r="K28" i="5"/>
  <c r="E10" i="6"/>
  <c r="E10" i="4"/>
  <c r="G17" i="7"/>
  <c r="R9" i="3"/>
  <c r="H9" i="4"/>
  <c r="G18" i="4"/>
  <c r="Q19" i="3"/>
  <c r="I18" i="4"/>
  <c r="S19" i="3"/>
  <c r="H11" i="4"/>
  <c r="R12" i="3"/>
  <c r="H5" i="4"/>
  <c r="R5" i="3"/>
  <c r="I6" i="4"/>
  <c r="S6" i="3"/>
  <c r="G36" i="4"/>
  <c r="D6" i="7" s="1"/>
  <c r="Q37" i="3"/>
  <c r="H39" i="4"/>
  <c r="E9" i="7" s="1"/>
  <c r="R9" i="7" s="1"/>
  <c r="R40" i="3"/>
  <c r="J15" i="4"/>
  <c r="P16" i="3"/>
  <c r="D29" i="6"/>
  <c r="D29" i="4"/>
  <c r="I8" i="4"/>
  <c r="S8" i="3"/>
  <c r="J10" i="4"/>
  <c r="P10" i="3"/>
  <c r="J7" i="4"/>
  <c r="P7" i="3"/>
  <c r="H18" i="4"/>
  <c r="R19" i="3"/>
  <c r="Q20" i="3"/>
  <c r="G19" i="4"/>
  <c r="J12" i="4"/>
  <c r="P13" i="3"/>
  <c r="I11" i="4"/>
  <c r="S12" i="3"/>
  <c r="J6" i="4"/>
  <c r="P6" i="3"/>
  <c r="G7" i="4"/>
  <c r="Q7" i="3"/>
  <c r="G30" i="4"/>
  <c r="Q31" i="3"/>
  <c r="I9" i="4"/>
  <c r="S9" i="3"/>
  <c r="G37" i="4"/>
  <c r="D7" i="7" s="1"/>
  <c r="N7" i="7" s="1"/>
  <c r="Q38" i="3"/>
  <c r="J27" i="4"/>
  <c r="P28" i="3"/>
  <c r="J19" i="4"/>
  <c r="P20" i="3"/>
  <c r="J20" i="4"/>
  <c r="P21" i="3"/>
  <c r="G12" i="4"/>
  <c r="Q13" i="3"/>
  <c r="I5" i="4"/>
  <c r="S5" i="3"/>
  <c r="I26" i="4"/>
  <c r="S27" i="3"/>
  <c r="S31" i="3"/>
  <c r="I30" i="4"/>
  <c r="H14" i="4"/>
  <c r="R15" i="3"/>
  <c r="C6" i="8"/>
  <c r="Q43" i="5"/>
  <c r="Q15" i="5"/>
  <c r="K20" i="5"/>
  <c r="K9" i="5"/>
  <c r="K15" i="5"/>
  <c r="K26" i="5"/>
  <c r="D11" i="4"/>
  <c r="D11" i="6"/>
  <c r="E33" i="6"/>
  <c r="E33" i="4"/>
  <c r="D27" i="6"/>
  <c r="D27" i="4"/>
  <c r="G9" i="4"/>
  <c r="Q9" i="3"/>
  <c r="K35" i="5"/>
  <c r="K8" i="5"/>
  <c r="E9" i="6"/>
  <c r="E9" i="4"/>
  <c r="R39" i="3"/>
  <c r="H38" i="4"/>
  <c r="E8" i="7" s="1"/>
  <c r="R8" i="7" s="1"/>
  <c r="Q10" i="3"/>
  <c r="G10" i="4"/>
  <c r="I28" i="4"/>
  <c r="S29" i="3"/>
  <c r="J25" i="4"/>
  <c r="P26" i="3"/>
  <c r="G6" i="4"/>
  <c r="Q6" i="3"/>
  <c r="Q28" i="3"/>
  <c r="G27" i="4"/>
  <c r="J29" i="4"/>
  <c r="P30" i="3"/>
  <c r="Q32" i="3"/>
  <c r="G31" i="4"/>
  <c r="I29" i="4"/>
  <c r="S30" i="3"/>
  <c r="K18" i="5"/>
  <c r="D19" i="4"/>
  <c r="D19" i="6"/>
  <c r="E16" i="4"/>
  <c r="E16" i="6"/>
  <c r="R14" i="3"/>
  <c r="H13" i="4"/>
  <c r="C9" i="8"/>
  <c r="T15" i="5"/>
  <c r="T43" i="5"/>
  <c r="K5" i="5"/>
  <c r="K16" i="5"/>
  <c r="D18" i="6"/>
  <c r="D18" i="4"/>
  <c r="F30" i="6"/>
  <c r="F30" i="4"/>
  <c r="H8" i="4"/>
  <c r="R8" i="3"/>
  <c r="H16" i="4"/>
  <c r="R17" i="3"/>
  <c r="H30" i="4"/>
  <c r="R31" i="3"/>
  <c r="Q27" i="3"/>
  <c r="G26" i="4"/>
  <c r="H19" i="4"/>
  <c r="R20" i="3"/>
  <c r="H12" i="4"/>
  <c r="R13" i="3"/>
  <c r="S14" i="3"/>
  <c r="I13" i="4"/>
  <c r="G11" i="4"/>
  <c r="Q12" i="3"/>
  <c r="K33" i="5"/>
  <c r="D17" i="6"/>
  <c r="D17" i="4"/>
  <c r="K12" i="5"/>
  <c r="P14" i="9"/>
  <c r="O14" i="9"/>
  <c r="N14" i="9"/>
  <c r="M14" i="9"/>
  <c r="P13" i="9"/>
  <c r="O13" i="9"/>
  <c r="N13" i="9"/>
  <c r="P15" i="9"/>
  <c r="M12" i="9"/>
  <c r="N9" i="9" s="1"/>
  <c r="N15" i="9"/>
  <c r="M15" i="9"/>
  <c r="O12" i="9"/>
  <c r="N7" i="9" s="1"/>
  <c r="N12" i="9"/>
  <c r="N8" i="9" s="1"/>
  <c r="P16" i="9"/>
  <c r="O16" i="9"/>
  <c r="N16" i="9"/>
  <c r="M16" i="9"/>
  <c r="O15" i="9"/>
  <c r="P12" i="9"/>
  <c r="N6" i="9" s="1"/>
  <c r="M13" i="9"/>
  <c r="F23" i="6"/>
  <c r="F23" i="4"/>
  <c r="I15" i="4"/>
  <c r="S16" i="3"/>
  <c r="J17" i="4"/>
  <c r="P18" i="3"/>
  <c r="J5" i="6"/>
  <c r="P34" i="3"/>
  <c r="J33" i="4"/>
  <c r="R28" i="3"/>
  <c r="H27" i="4"/>
  <c r="J26" i="4"/>
  <c r="P27" i="3"/>
  <c r="G20" i="4"/>
  <c r="Q21" i="3"/>
  <c r="I19" i="4"/>
  <c r="S20" i="3"/>
  <c r="J13" i="4"/>
  <c r="P14" i="3"/>
  <c r="G14" i="4"/>
  <c r="Q15" i="3"/>
  <c r="G16" i="4"/>
  <c r="Q17" i="3"/>
  <c r="I16" i="4"/>
  <c r="S17" i="3"/>
  <c r="R10" i="3"/>
  <c r="H10" i="4"/>
  <c r="Q34" i="3"/>
  <c r="J21" i="4"/>
  <c r="P22" i="3"/>
  <c r="H20" i="4"/>
  <c r="R21" i="3"/>
  <c r="I12" i="4"/>
  <c r="S13" i="3"/>
  <c r="S35" i="3"/>
  <c r="I34" i="4"/>
  <c r="H36" i="4"/>
  <c r="E6" i="7" s="1"/>
  <c r="R37" i="3"/>
  <c r="I38" i="4"/>
  <c r="F8" i="7" s="1"/>
  <c r="P8" i="7" s="1"/>
  <c r="S39" i="3"/>
  <c r="I32" i="4"/>
  <c r="S33" i="3"/>
  <c r="D35" i="4"/>
  <c r="D35" i="6"/>
  <c r="G17" i="4"/>
  <c r="Q18" i="3"/>
  <c r="S38" i="3"/>
  <c r="I37" i="4"/>
  <c r="F7" i="7" s="1"/>
  <c r="P7" i="7" s="1"/>
  <c r="H33" i="4"/>
  <c r="R34" i="3"/>
  <c r="G24" i="4"/>
  <c r="Q25" i="3"/>
  <c r="G21" i="4"/>
  <c r="Q22" i="3"/>
  <c r="G13" i="4"/>
  <c r="Q14" i="3"/>
  <c r="Q36" i="3"/>
  <c r="G35" i="4"/>
  <c r="P38" i="3"/>
  <c r="J37" i="4"/>
  <c r="G39" i="4"/>
  <c r="D9" i="7" s="1"/>
  <c r="N9" i="7" s="1"/>
  <c r="Q40" i="3"/>
  <c r="I25" i="4"/>
  <c r="S26" i="3"/>
  <c r="K37" i="5"/>
  <c r="J19" i="7"/>
  <c r="K19" i="7" s="1"/>
  <c r="S7" i="3"/>
  <c r="I7" i="4"/>
  <c r="Q8" i="3"/>
  <c r="G25" i="4"/>
  <c r="Q26" i="3"/>
  <c r="J22" i="4"/>
  <c r="P23" i="3"/>
  <c r="I20" i="4"/>
  <c r="S21" i="3"/>
  <c r="K34" i="5"/>
  <c r="E21" i="4"/>
  <c r="E21" i="6"/>
  <c r="I20" i="7"/>
  <c r="H7" i="4"/>
  <c r="J23" i="4"/>
  <c r="P24" i="3"/>
  <c r="P25" i="3"/>
  <c r="G15" i="4"/>
  <c r="Q16" i="3"/>
  <c r="K19" i="5"/>
  <c r="K30" i="5"/>
  <c r="D10" i="4"/>
  <c r="D10" i="6"/>
  <c r="K10" i="5"/>
  <c r="E22" i="6"/>
  <c r="E22" i="4"/>
  <c r="E25" i="6"/>
  <c r="E25" i="4"/>
  <c r="K13" i="5"/>
  <c r="E34" i="6"/>
  <c r="E34" i="4"/>
  <c r="E38" i="6"/>
  <c r="E38" i="4"/>
  <c r="J8" i="4"/>
  <c r="P8" i="3"/>
  <c r="H17" i="4"/>
  <c r="R18" i="3"/>
  <c r="P40" i="3"/>
  <c r="J39" i="4"/>
  <c r="H32" i="4"/>
  <c r="R33" i="3"/>
  <c r="I21" i="4"/>
  <c r="S22" i="3"/>
  <c r="J30" i="4"/>
  <c r="P31" i="3"/>
  <c r="G29" i="4"/>
  <c r="Q30" i="3"/>
  <c r="J5" i="4"/>
  <c r="P5" i="3"/>
  <c r="E20" i="6"/>
  <c r="E20" i="4"/>
  <c r="K29" i="5"/>
  <c r="D9" i="6"/>
  <c r="D9" i="4"/>
  <c r="D34" i="4"/>
  <c r="D34" i="6"/>
  <c r="U43" i="5"/>
  <c r="C10" i="8"/>
  <c r="U15" i="5"/>
  <c r="K32" i="5"/>
  <c r="K24" i="5"/>
  <c r="E35" i="4"/>
  <c r="E35" i="6"/>
  <c r="E26" i="6"/>
  <c r="E26" i="4"/>
  <c r="C13" i="8"/>
  <c r="X15" i="5"/>
  <c r="X43" i="5"/>
  <c r="K27" i="5"/>
  <c r="K7" i="5"/>
  <c r="G16" i="7"/>
  <c r="E27" i="4"/>
  <c r="E27" i="6"/>
  <c r="D33" i="6"/>
  <c r="D33" i="4"/>
  <c r="K22" i="5"/>
  <c r="D30" i="6"/>
  <c r="D30" i="4"/>
  <c r="J18" i="4"/>
  <c r="P19" i="3"/>
  <c r="S10" i="3"/>
  <c r="I10" i="4"/>
  <c r="H5" i="6"/>
  <c r="R26" i="3"/>
  <c r="H22" i="4"/>
  <c r="R23" i="3"/>
  <c r="S28" i="3"/>
  <c r="R38" i="3"/>
  <c r="G5" i="6" l="1"/>
  <c r="I23" i="4"/>
  <c r="I33" i="4"/>
  <c r="F41" i="3"/>
  <c r="Q23" i="3"/>
  <c r="H15" i="4"/>
  <c r="S24" i="3"/>
  <c r="R24" i="3"/>
  <c r="G22" i="4"/>
  <c r="P19" i="4" s="1" a="1"/>
  <c r="T41" i="3"/>
  <c r="P6" i="4" a="1"/>
  <c r="U8" i="4" s="1"/>
  <c r="R25" i="3"/>
  <c r="R22" i="3"/>
  <c r="R41" i="3" s="1"/>
  <c r="H6" i="4"/>
  <c r="J34" i="4"/>
  <c r="R29" i="3"/>
  <c r="P19" i="6" a="1"/>
  <c r="P26" i="6" s="1"/>
  <c r="P6" i="6" a="1"/>
  <c r="P10" i="6" s="1"/>
  <c r="R27" i="3"/>
  <c r="J17" i="7"/>
  <c r="K17" i="7" s="1"/>
  <c r="D41" i="3"/>
  <c r="J9" i="4"/>
  <c r="P32" i="4" s="1"/>
  <c r="H29" i="4"/>
  <c r="W41" i="3"/>
  <c r="P37" i="3"/>
  <c r="G32" i="4"/>
  <c r="L29" i="5"/>
  <c r="M29" i="5" s="1"/>
  <c r="Q71" i="5"/>
  <c r="R71" i="5" s="1"/>
  <c r="L9" i="5"/>
  <c r="M9" i="5" s="1"/>
  <c r="Q51" i="5"/>
  <c r="R51" i="5" s="1"/>
  <c r="L23" i="5"/>
  <c r="M23" i="5" s="1"/>
  <c r="Q65" i="5"/>
  <c r="R65" i="5" s="1"/>
  <c r="Q56" i="5"/>
  <c r="R56" i="5" s="1"/>
  <c r="L14" i="5"/>
  <c r="M14" i="5" s="1"/>
  <c r="Q76" i="5"/>
  <c r="R76" i="5" s="1"/>
  <c r="L34" i="5"/>
  <c r="M34" i="5" s="1"/>
  <c r="L8" i="5"/>
  <c r="M8" i="5" s="1"/>
  <c r="Q50" i="5"/>
  <c r="R50" i="5" s="1"/>
  <c r="L37" i="5"/>
  <c r="M37" i="5" s="1"/>
  <c r="Q79" i="5"/>
  <c r="R79" i="5" s="1"/>
  <c r="P29" i="4"/>
  <c r="D17" i="8" s="1"/>
  <c r="J40" i="4"/>
  <c r="D18" i="8" s="1"/>
  <c r="Q54" i="5"/>
  <c r="R54" i="5" s="1"/>
  <c r="L12" i="5"/>
  <c r="M12" i="5" s="1"/>
  <c r="Q77" i="5"/>
  <c r="R77" i="5" s="1"/>
  <c r="L35" i="5"/>
  <c r="M35" i="5" s="1"/>
  <c r="C8" i="7"/>
  <c r="Q62" i="5"/>
  <c r="R62" i="5" s="1"/>
  <c r="L20" i="5"/>
  <c r="M20" i="5" s="1"/>
  <c r="Q41" i="3"/>
  <c r="L6" i="5"/>
  <c r="M6" i="5" s="1"/>
  <c r="Q48" i="5"/>
  <c r="R48" i="5" s="1"/>
  <c r="Q64" i="5"/>
  <c r="R64" i="5" s="1"/>
  <c r="L22" i="5"/>
  <c r="M22" i="5" s="1"/>
  <c r="J40" i="6"/>
  <c r="E18" i="8" s="1"/>
  <c r="P32" i="6"/>
  <c r="P29" i="6"/>
  <c r="E17" i="8" s="1"/>
  <c r="D10" i="7"/>
  <c r="N6" i="7"/>
  <c r="G12" i="9"/>
  <c r="H12" i="9" s="1"/>
  <c r="G13" i="9"/>
  <c r="H13" i="9" s="1"/>
  <c r="G5" i="9"/>
  <c r="H5" i="9" s="1"/>
  <c r="G15" i="9"/>
  <c r="H15" i="9" s="1"/>
  <c r="G9" i="9"/>
  <c r="H9" i="9" s="1"/>
  <c r="G7" i="9"/>
  <c r="H7" i="9" s="1"/>
  <c r="G17" i="9"/>
  <c r="H17" i="9" s="1"/>
  <c r="G10" i="9"/>
  <c r="H10" i="9" s="1"/>
  <c r="G8" i="9"/>
  <c r="H8" i="9" s="1"/>
  <c r="G6" i="9"/>
  <c r="H6" i="9" s="1"/>
  <c r="G16" i="9"/>
  <c r="H16" i="9" s="1"/>
  <c r="G14" i="9"/>
  <c r="H14" i="9" s="1"/>
  <c r="G11" i="9"/>
  <c r="H11" i="9" s="1"/>
  <c r="C9" i="7"/>
  <c r="Q66" i="5"/>
  <c r="R66" i="5" s="1"/>
  <c r="L24" i="5"/>
  <c r="M24" i="5" s="1"/>
  <c r="Q74" i="5"/>
  <c r="R74" i="5" s="1"/>
  <c r="L32" i="5"/>
  <c r="M32" i="5" s="1"/>
  <c r="Q52" i="5"/>
  <c r="R52" i="5" s="1"/>
  <c r="L10" i="5"/>
  <c r="M10" i="5" s="1"/>
  <c r="C7" i="7"/>
  <c r="L33" i="5"/>
  <c r="M33" i="5" s="1"/>
  <c r="Q75" i="5"/>
  <c r="R75" i="5" s="1"/>
  <c r="L31" i="5"/>
  <c r="M31" i="5" s="1"/>
  <c r="Q73" i="5"/>
  <c r="R73" i="5" s="1"/>
  <c r="P41" i="3"/>
  <c r="C6" i="7"/>
  <c r="Q60" i="5"/>
  <c r="R60" i="5" s="1"/>
  <c r="L18" i="5"/>
  <c r="M18" i="5" s="1"/>
  <c r="Q63" i="5"/>
  <c r="R63" i="5" s="1"/>
  <c r="L21" i="5"/>
  <c r="M21" i="5" s="1"/>
  <c r="L13" i="5"/>
  <c r="M13" i="5" s="1"/>
  <c r="Q55" i="5"/>
  <c r="R55" i="5" s="1"/>
  <c r="E10" i="7"/>
  <c r="R6" i="7"/>
  <c r="L28" i="5"/>
  <c r="M28" i="5" s="1"/>
  <c r="Q70" i="5"/>
  <c r="R70" i="5" s="1"/>
  <c r="Q59" i="5"/>
  <c r="R59" i="5" s="1"/>
  <c r="L17" i="5"/>
  <c r="M17" i="5" s="1"/>
  <c r="L30" i="5"/>
  <c r="M30" i="5" s="1"/>
  <c r="Q72" i="5"/>
  <c r="R72" i="5" s="1"/>
  <c r="S41" i="3"/>
  <c r="Q67" i="5"/>
  <c r="R67" i="5" s="1"/>
  <c r="L25" i="5"/>
  <c r="M25" i="5" s="1"/>
  <c r="H20" i="7"/>
  <c r="L39" i="5"/>
  <c r="M39" i="5" s="1"/>
  <c r="Q81" i="5"/>
  <c r="R81" i="5" s="1"/>
  <c r="Q80" i="5"/>
  <c r="R80" i="5" s="1"/>
  <c r="L38" i="5"/>
  <c r="M38" i="5" s="1"/>
  <c r="Q49" i="5"/>
  <c r="R49" i="5" s="1"/>
  <c r="L7" i="5"/>
  <c r="M7" i="5" s="1"/>
  <c r="L16" i="5"/>
  <c r="M16" i="5" s="1"/>
  <c r="Q58" i="5"/>
  <c r="R58" i="5" s="1"/>
  <c r="L36" i="5"/>
  <c r="M36" i="5" s="1"/>
  <c r="Q78" i="5"/>
  <c r="R78" i="5" s="1"/>
  <c r="J16" i="7"/>
  <c r="G20" i="7"/>
  <c r="Q61" i="5"/>
  <c r="R61" i="5" s="1"/>
  <c r="L19" i="5"/>
  <c r="M19" i="5" s="1"/>
  <c r="Q53" i="5"/>
  <c r="R53" i="5" s="1"/>
  <c r="L11" i="5"/>
  <c r="M11" i="5" s="1"/>
  <c r="Q69" i="5"/>
  <c r="R69" i="5" s="1"/>
  <c r="L27" i="5"/>
  <c r="M27" i="5" s="1"/>
  <c r="Q68" i="5"/>
  <c r="R68" i="5" s="1"/>
  <c r="L26" i="5"/>
  <c r="M26" i="5" s="1"/>
  <c r="L5" i="5"/>
  <c r="K40" i="5"/>
  <c r="Q47" i="5"/>
  <c r="R47" i="5" s="1"/>
  <c r="L15" i="5"/>
  <c r="M15" i="5" s="1"/>
  <c r="Q57" i="5"/>
  <c r="R57" i="5" s="1"/>
  <c r="P6" i="7"/>
  <c r="F10" i="7"/>
  <c r="W6" i="4" l="1"/>
  <c r="P13" i="4" s="1"/>
  <c r="P6" i="4"/>
  <c r="X13" i="4" s="1"/>
  <c r="V9" i="6"/>
  <c r="T8" i="6"/>
  <c r="P24" i="6"/>
  <c r="U10" i="4"/>
  <c r="V9" i="4"/>
  <c r="R9" i="6"/>
  <c r="Q9" i="4"/>
  <c r="T7" i="4"/>
  <c r="T14" i="4" s="1"/>
  <c r="F9" i="8" s="1"/>
  <c r="U6" i="6"/>
  <c r="S13" i="6" s="1"/>
  <c r="E8" i="8" s="1"/>
  <c r="P25" i="6"/>
  <c r="P22" i="6"/>
  <c r="U8" i="6"/>
  <c r="R7" i="4"/>
  <c r="V14" i="4" s="1"/>
  <c r="F11" i="8" s="1"/>
  <c r="S10" i="6"/>
  <c r="P21" i="6"/>
  <c r="W10" i="4"/>
  <c r="V10" i="4"/>
  <c r="R9" i="4"/>
  <c r="T9" i="6"/>
  <c r="U9" i="4"/>
  <c r="P8" i="4"/>
  <c r="S6" i="4"/>
  <c r="U13" i="4" s="1"/>
  <c r="D10" i="8" s="1"/>
  <c r="H10" i="8" s="1"/>
  <c r="S7" i="6"/>
  <c r="U14" i="6" s="1"/>
  <c r="U15" i="6" s="1"/>
  <c r="S7" i="4"/>
  <c r="U14" i="4" s="1"/>
  <c r="F10" i="8" s="1"/>
  <c r="P19" i="6"/>
  <c r="R8" i="4"/>
  <c r="U10" i="6"/>
  <c r="U7" i="6"/>
  <c r="S14" i="6" s="1"/>
  <c r="T10" i="6"/>
  <c r="Q10" i="6"/>
  <c r="S9" i="6"/>
  <c r="S9" i="4"/>
  <c r="T7" i="6"/>
  <c r="T14" i="6" s="1"/>
  <c r="W6" i="6"/>
  <c r="P13" i="6" s="1"/>
  <c r="K24" i="6" s="1"/>
  <c r="L24" i="6" s="1"/>
  <c r="M24" i="6" s="1"/>
  <c r="U7" i="4"/>
  <c r="S14" i="4" s="1"/>
  <c r="F8" i="8" s="1"/>
  <c r="R10" i="4"/>
  <c r="R10" i="6"/>
  <c r="R7" i="6"/>
  <c r="V14" i="6" s="1"/>
  <c r="U9" i="6"/>
  <c r="Q7" i="4"/>
  <c r="W14" i="4" s="1"/>
  <c r="F12" i="8" s="1"/>
  <c r="Q7" i="6"/>
  <c r="W14" i="6" s="1"/>
  <c r="V7" i="4"/>
  <c r="Q14" i="4" s="1"/>
  <c r="F6" i="8" s="1"/>
  <c r="T6" i="4"/>
  <c r="T13" i="4" s="1"/>
  <c r="D9" i="8" s="1"/>
  <c r="H9" i="8" s="1"/>
  <c r="V8" i="6"/>
  <c r="V10" i="6"/>
  <c r="P6" i="6"/>
  <c r="X13" i="6" s="1"/>
  <c r="E13" i="8" s="1"/>
  <c r="P20" i="6"/>
  <c r="P10" i="4"/>
  <c r="Q6" i="4"/>
  <c r="W13" i="4" s="1"/>
  <c r="Q8" i="4"/>
  <c r="Q10" i="4"/>
  <c r="W9" i="4"/>
  <c r="W7" i="4"/>
  <c r="P14" i="4" s="1"/>
  <c r="F5" i="8" s="1"/>
  <c r="T8" i="4"/>
  <c r="Q6" i="6"/>
  <c r="W13" i="6" s="1"/>
  <c r="E12" i="8" s="1"/>
  <c r="V7" i="6"/>
  <c r="Q14" i="6" s="1"/>
  <c r="W7" i="6"/>
  <c r="P14" i="6" s="1"/>
  <c r="P15" i="6" s="1"/>
  <c r="T9" i="4"/>
  <c r="P23" i="6"/>
  <c r="W8" i="6"/>
  <c r="S8" i="4"/>
  <c r="T10" i="4"/>
  <c r="P9" i="6"/>
  <c r="W10" i="6"/>
  <c r="W9" i="6"/>
  <c r="S8" i="6"/>
  <c r="S10" i="4"/>
  <c r="W8" i="4"/>
  <c r="V6" i="6"/>
  <c r="Q13" i="6" s="1"/>
  <c r="K37" i="6" s="1"/>
  <c r="L37" i="6" s="1"/>
  <c r="M37" i="6" s="1"/>
  <c r="V6" i="4"/>
  <c r="Q13" i="4" s="1"/>
  <c r="K35" i="4" s="1"/>
  <c r="L35" i="4" s="1"/>
  <c r="M35" i="4" s="1"/>
  <c r="P7" i="6"/>
  <c r="X14" i="6" s="1"/>
  <c r="P7" i="4"/>
  <c r="X14" i="4" s="1"/>
  <c r="F13" i="8" s="1"/>
  <c r="R6" i="4"/>
  <c r="V13" i="4" s="1"/>
  <c r="V15" i="4" s="1"/>
  <c r="G11" i="8" s="1"/>
  <c r="V8" i="4"/>
  <c r="U6" i="4"/>
  <c r="S13" i="4" s="1"/>
  <c r="G9" i="7" s="1"/>
  <c r="R6" i="6"/>
  <c r="V13" i="6" s="1"/>
  <c r="V15" i="6" s="1"/>
  <c r="Q8" i="6"/>
  <c r="P8" i="6"/>
  <c r="S6" i="6"/>
  <c r="U13" i="6" s="1"/>
  <c r="T6" i="6"/>
  <c r="T13" i="6" s="1"/>
  <c r="P9" i="4"/>
  <c r="Q9" i="6"/>
  <c r="R8" i="6"/>
  <c r="E5" i="8"/>
  <c r="K13" i="6"/>
  <c r="L13" i="6" s="1"/>
  <c r="M13" i="6" s="1"/>
  <c r="K5" i="6"/>
  <c r="H18" i="9"/>
  <c r="C10" i="7"/>
  <c r="D19" i="8" s="1"/>
  <c r="T6" i="7"/>
  <c r="E10" i="8"/>
  <c r="K28" i="4"/>
  <c r="L28" i="4" s="1"/>
  <c r="M28" i="4" s="1"/>
  <c r="K11" i="4"/>
  <c r="L11" i="4" s="1"/>
  <c r="M11" i="4" s="1"/>
  <c r="K8" i="4"/>
  <c r="L8" i="4" s="1"/>
  <c r="M8" i="4" s="1"/>
  <c r="D5" i="8"/>
  <c r="H5" i="8" s="1"/>
  <c r="P15" i="4"/>
  <c r="G5" i="8" s="1"/>
  <c r="K19" i="4"/>
  <c r="L19" i="4" s="1"/>
  <c r="M19" i="4" s="1"/>
  <c r="K15" i="4"/>
  <c r="L15" i="4" s="1"/>
  <c r="M15" i="4" s="1"/>
  <c r="K14" i="4"/>
  <c r="L14" i="4" s="1"/>
  <c r="M14" i="4" s="1"/>
  <c r="K25" i="4"/>
  <c r="L25" i="4" s="1"/>
  <c r="M25" i="4" s="1"/>
  <c r="K9" i="4"/>
  <c r="L9" i="4" s="1"/>
  <c r="M9" i="4" s="1"/>
  <c r="K30" i="4"/>
  <c r="L30" i="4" s="1"/>
  <c r="M30" i="4" s="1"/>
  <c r="K18" i="4"/>
  <c r="L18" i="4" s="1"/>
  <c r="M18" i="4" s="1"/>
  <c r="K21" i="4"/>
  <c r="L21" i="4" s="1"/>
  <c r="M21" i="4" s="1"/>
  <c r="E9" i="8"/>
  <c r="T15" i="6"/>
  <c r="T8" i="7"/>
  <c r="D13" i="8"/>
  <c r="H13" i="8" s="1"/>
  <c r="X15" i="4"/>
  <c r="G13" i="8" s="1"/>
  <c r="Q15" i="6"/>
  <c r="E6" i="8"/>
  <c r="T9" i="7"/>
  <c r="J20" i="7"/>
  <c r="C20" i="8" s="1"/>
  <c r="K16" i="7"/>
  <c r="K20" i="7" s="1"/>
  <c r="J21" i="7" s="1"/>
  <c r="C21" i="8" s="1"/>
  <c r="I8" i="7"/>
  <c r="S8" i="7" s="1"/>
  <c r="I7" i="7"/>
  <c r="S7" i="7" s="1"/>
  <c r="D12" i="8"/>
  <c r="H12" i="8" s="1"/>
  <c r="I6" i="7"/>
  <c r="I9" i="7"/>
  <c r="S9" i="7" s="1"/>
  <c r="D6" i="8"/>
  <c r="H6" i="8" s="1"/>
  <c r="Q15" i="4"/>
  <c r="G6" i="8" s="1"/>
  <c r="P24" i="4"/>
  <c r="P23" i="4"/>
  <c r="P26" i="4"/>
  <c r="P25" i="4"/>
  <c r="P20" i="4"/>
  <c r="P19" i="4"/>
  <c r="P22" i="4"/>
  <c r="P21" i="4"/>
  <c r="M5" i="5"/>
  <c r="M40" i="5" s="1"/>
  <c r="P31" i="5" s="1"/>
  <c r="L40" i="5"/>
  <c r="T7" i="7"/>
  <c r="K20" i="6" l="1"/>
  <c r="L20" i="6" s="1"/>
  <c r="M20" i="6" s="1"/>
  <c r="K16" i="4"/>
  <c r="L16" i="4" s="1"/>
  <c r="M16" i="4" s="1"/>
  <c r="K8" i="6"/>
  <c r="L8" i="6" s="1"/>
  <c r="M8" i="6" s="1"/>
  <c r="G7" i="7"/>
  <c r="J7" i="7" s="1"/>
  <c r="K9" i="6"/>
  <c r="L9" i="6" s="1"/>
  <c r="M9" i="6" s="1"/>
  <c r="K18" i="6"/>
  <c r="L18" i="6" s="1"/>
  <c r="M18" i="6" s="1"/>
  <c r="K29" i="6"/>
  <c r="L29" i="6" s="1"/>
  <c r="M29" i="6" s="1"/>
  <c r="D8" i="8"/>
  <c r="H8" i="8" s="1"/>
  <c r="K12" i="4"/>
  <c r="L12" i="4" s="1"/>
  <c r="M12" i="4" s="1"/>
  <c r="K27" i="6"/>
  <c r="L27" i="6" s="1"/>
  <c r="M27" i="6" s="1"/>
  <c r="K34" i="6"/>
  <c r="L34" i="6" s="1"/>
  <c r="M34" i="6" s="1"/>
  <c r="K22" i="6"/>
  <c r="L22" i="6" s="1"/>
  <c r="M22" i="6" s="1"/>
  <c r="K10" i="6"/>
  <c r="L10" i="6" s="1"/>
  <c r="M10" i="6" s="1"/>
  <c r="K27" i="4"/>
  <c r="L27" i="4" s="1"/>
  <c r="M27" i="4" s="1"/>
  <c r="X15" i="6"/>
  <c r="K38" i="6"/>
  <c r="L38" i="6" s="1"/>
  <c r="M38" i="6" s="1"/>
  <c r="K36" i="6"/>
  <c r="L36" i="6" s="1"/>
  <c r="M36" i="6" s="1"/>
  <c r="K20" i="4"/>
  <c r="L20" i="4" s="1"/>
  <c r="M20" i="4" s="1"/>
  <c r="K25" i="6"/>
  <c r="L25" i="6" s="1"/>
  <c r="M25" i="6" s="1"/>
  <c r="K12" i="6"/>
  <c r="L12" i="6" s="1"/>
  <c r="M12" i="6" s="1"/>
  <c r="K26" i="4"/>
  <c r="L26" i="4" s="1"/>
  <c r="M26" i="4" s="1"/>
  <c r="K39" i="6"/>
  <c r="L39" i="6" s="1"/>
  <c r="M39" i="6" s="1"/>
  <c r="K7" i="6"/>
  <c r="L7" i="6" s="1"/>
  <c r="M7" i="6" s="1"/>
  <c r="K32" i="6"/>
  <c r="L32" i="6" s="1"/>
  <c r="M32" i="6" s="1"/>
  <c r="D11" i="8"/>
  <c r="H11" i="8" s="1"/>
  <c r="K32" i="4"/>
  <c r="L32" i="4" s="1"/>
  <c r="M32" i="4" s="1"/>
  <c r="K23" i="6"/>
  <c r="L23" i="6" s="1"/>
  <c r="M23" i="6" s="1"/>
  <c r="K15" i="6"/>
  <c r="L15" i="6" s="1"/>
  <c r="M15" i="6" s="1"/>
  <c r="K14" i="6"/>
  <c r="L14" i="6" s="1"/>
  <c r="M14" i="6" s="1"/>
  <c r="K34" i="4"/>
  <c r="L34" i="4" s="1"/>
  <c r="M34" i="4" s="1"/>
  <c r="G8" i="7"/>
  <c r="G10" i="7" s="1"/>
  <c r="K16" i="6"/>
  <c r="L16" i="6" s="1"/>
  <c r="M16" i="6" s="1"/>
  <c r="S15" i="6"/>
  <c r="H7" i="7"/>
  <c r="O7" i="7" s="1"/>
  <c r="W15" i="6"/>
  <c r="H8" i="7"/>
  <c r="O8" i="7" s="1"/>
  <c r="K38" i="4"/>
  <c r="L38" i="4" s="1"/>
  <c r="M38" i="4" s="1"/>
  <c r="K28" i="6"/>
  <c r="L28" i="6" s="1"/>
  <c r="M28" i="6" s="1"/>
  <c r="K11" i="6"/>
  <c r="L11" i="6" s="1"/>
  <c r="M11" i="6" s="1"/>
  <c r="K30" i="6"/>
  <c r="L30" i="6" s="1"/>
  <c r="M30" i="6" s="1"/>
  <c r="H9" i="7"/>
  <c r="O9" i="7" s="1"/>
  <c r="K6" i="4"/>
  <c r="L6" i="4" s="1"/>
  <c r="M6" i="4" s="1"/>
  <c r="H6" i="7"/>
  <c r="O6" i="7" s="1"/>
  <c r="K37" i="4"/>
  <c r="L37" i="4" s="1"/>
  <c r="M37" i="4" s="1"/>
  <c r="K35" i="6"/>
  <c r="L35" i="6" s="1"/>
  <c r="M35" i="6" s="1"/>
  <c r="K22" i="4"/>
  <c r="L22" i="4" s="1"/>
  <c r="M22" i="4" s="1"/>
  <c r="K7" i="4"/>
  <c r="L7" i="4" s="1"/>
  <c r="M7" i="4" s="1"/>
  <c r="K6" i="6"/>
  <c r="L6" i="6" s="1"/>
  <c r="M6" i="6" s="1"/>
  <c r="G6" i="7"/>
  <c r="K17" i="6"/>
  <c r="L17" i="6" s="1"/>
  <c r="M17" i="6" s="1"/>
  <c r="K21" i="6"/>
  <c r="L21" i="6" s="1"/>
  <c r="M21" i="6" s="1"/>
  <c r="S15" i="4"/>
  <c r="G8" i="8" s="1"/>
  <c r="K29" i="4"/>
  <c r="L29" i="4" s="1"/>
  <c r="M29" i="4" s="1"/>
  <c r="K36" i="4"/>
  <c r="L36" i="4" s="1"/>
  <c r="M36" i="4" s="1"/>
  <c r="W15" i="4"/>
  <c r="G12" i="8" s="1"/>
  <c r="K31" i="6"/>
  <c r="L31" i="6" s="1"/>
  <c r="M31" i="6" s="1"/>
  <c r="K39" i="4"/>
  <c r="L39" i="4" s="1"/>
  <c r="M39" i="4" s="1"/>
  <c r="K31" i="4"/>
  <c r="L31" i="4" s="1"/>
  <c r="M31" i="4" s="1"/>
  <c r="U15" i="4"/>
  <c r="G10" i="8" s="1"/>
  <c r="T15" i="4"/>
  <c r="G9" i="8" s="1"/>
  <c r="K13" i="4"/>
  <c r="L13" i="4" s="1"/>
  <c r="M13" i="4" s="1"/>
  <c r="K23" i="4"/>
  <c r="L23" i="4" s="1"/>
  <c r="M23" i="4" s="1"/>
  <c r="K17" i="4"/>
  <c r="L17" i="4" s="1"/>
  <c r="M17" i="4" s="1"/>
  <c r="K5" i="4"/>
  <c r="L5" i="4" s="1"/>
  <c r="K33" i="4"/>
  <c r="L33" i="4" s="1"/>
  <c r="M33" i="4" s="1"/>
  <c r="E11" i="8"/>
  <c r="K26" i="6"/>
  <c r="L26" i="6" s="1"/>
  <c r="M26" i="6" s="1"/>
  <c r="K19" i="6"/>
  <c r="L19" i="6" s="1"/>
  <c r="M19" i="6" s="1"/>
  <c r="K24" i="4"/>
  <c r="L24" i="4" s="1"/>
  <c r="M24" i="4" s="1"/>
  <c r="K10" i="4"/>
  <c r="L10" i="4" s="1"/>
  <c r="M10" i="4" s="1"/>
  <c r="K33" i="6"/>
  <c r="L33" i="6" s="1"/>
  <c r="M33" i="6" s="1"/>
  <c r="Q6" i="7"/>
  <c r="J9" i="7"/>
  <c r="Q9" i="7"/>
  <c r="L5" i="6"/>
  <c r="I10" i="7"/>
  <c r="S6" i="7"/>
  <c r="Q7" i="7"/>
  <c r="C16" i="8"/>
  <c r="P33" i="5"/>
  <c r="P38" i="5"/>
  <c r="P37" i="5"/>
  <c r="P35" i="5"/>
  <c r="P36" i="5" s="1"/>
  <c r="K40" i="6" l="1"/>
  <c r="K40" i="4"/>
  <c r="Q8" i="7"/>
  <c r="J8" i="7"/>
  <c r="J6" i="7"/>
  <c r="H10" i="7"/>
  <c r="U8" i="7"/>
  <c r="K8" i="7"/>
  <c r="M5" i="4"/>
  <c r="M40" i="4" s="1"/>
  <c r="P31" i="4" s="1"/>
  <c r="L40" i="4"/>
  <c r="U9" i="7"/>
  <c r="K9" i="7"/>
  <c r="U6" i="7"/>
  <c r="J10" i="7"/>
  <c r="D20" i="8" s="1"/>
  <c r="K6" i="7"/>
  <c r="U7" i="7"/>
  <c r="K7" i="7"/>
  <c r="L40" i="6"/>
  <c r="M5" i="6"/>
  <c r="M40" i="6" s="1"/>
  <c r="P31" i="6" s="1"/>
  <c r="C14" i="8"/>
  <c r="P34" i="5"/>
  <c r="C15" i="8" s="1"/>
  <c r="K10" i="7" l="1"/>
  <c r="J11" i="7" s="1"/>
  <c r="D21" i="8" s="1"/>
  <c r="E16" i="8"/>
  <c r="P38" i="6"/>
  <c r="P33" i="6"/>
  <c r="P37" i="6"/>
  <c r="P35" i="6"/>
  <c r="P36" i="6" s="1"/>
  <c r="D16" i="8"/>
  <c r="P37" i="4"/>
  <c r="P33" i="4"/>
  <c r="P38" i="4"/>
  <c r="P35" i="4"/>
  <c r="P36" i="4" s="1"/>
  <c r="D14" i="8" l="1"/>
  <c r="P34" i="4"/>
  <c r="D15" i="8" s="1"/>
  <c r="E14" i="8"/>
  <c r="P34" i="6"/>
  <c r="E15" i="8" s="1"/>
</calcChain>
</file>

<file path=xl/sharedStrings.xml><?xml version="1.0" encoding="utf-8"?>
<sst xmlns="http://schemas.openxmlformats.org/spreadsheetml/2006/main" count="1502" uniqueCount="595">
  <si>
    <t>Источник данных и порядок отбора</t>
  </si>
  <si>
    <t>Открытые данные STATS19 (Department for Transport, Великобритания); агрегирование выполнено Python-скриптом, далее все расчёты — формулами Excel</t>
  </si>
  <si>
    <t>Набор данных</t>
  </si>
  <si>
    <t>Road Safety Data (STATS19), Department for Transport — таблица collision (сведения о ДТП)</t>
  </si>
  <si>
    <t>Страница набора</t>
  </si>
  <si>
    <t>https://www.data.gov.uk/dataset/cb7ae6f0-4be6-4935-9277-47e5ce24a11f/road-safety-data</t>
  </si>
  <si>
    <t>Страница публикации</t>
  </si>
  <si>
    <t>https://www.gov.uk/government/statistics/road-safety-data</t>
  </si>
  <si>
    <t>Скачанный файл</t>
  </si>
  <si>
    <t>https://data.dft.gov.uk/road-accidents-safety-data/dft-road-casualty-statistics-collision-1979-latest-published-year.csv</t>
  </si>
  <si>
    <t>Размер / SHA-256</t>
  </si>
  <si>
    <t>1 534 937 928 байт; 7b80a3a8d9df7b54633a4019e73c8512ca052b166ca2afac0fff4d1448565edc</t>
  </si>
  <si>
    <t>Справочник кодов</t>
  </si>
  <si>
    <t>dft-road-casualty-statistics-road-safety-open-dataset-data-guide-2025.xlsx (лист 2024_code_list)</t>
  </si>
  <si>
    <t>Дата загрузки</t>
  </si>
  <si>
    <t>27.10.2026</t>
  </si>
  <si>
    <t>Лицензия</t>
  </si>
  <si>
    <t>Open Government Licence v3.0</t>
  </si>
  <si>
    <t>Источник ВКР</t>
  </si>
  <si>
    <t>Kaggle «UK Road Safety: Accidents and Vehicles» (выгрузка тех же данных DfT, 2005–2017) — у нас заменён первоисточником</t>
  </si>
  <si>
    <t>Шаги отбора</t>
  </si>
  <si>
    <t>Шаг</t>
  </si>
  <si>
    <t>Условие (поля STATS19)</t>
  </si>
  <si>
    <t>Записей</t>
  </si>
  <si>
    <t>0. Весь файл</t>
  </si>
  <si>
    <t>1979–2025, все ДТП с пострадавшими</t>
  </si>
  <si>
    <t>1. Период</t>
  </si>
  <si>
    <t>collision_year от 2009 до 2017</t>
  </si>
  <si>
    <t>2. Тяжесть</t>
  </si>
  <si>
    <t>collision_severity = 1 (Fatal — со смертельным исходом)</t>
  </si>
  <si>
    <t>2а. Англия (справочно)</t>
  </si>
  <si>
    <t>local_authority_ons_district начинается с «E»</t>
  </si>
  <si>
    <t>3. Территория</t>
  </si>
  <si>
    <t>local_authority_ons_district = E06000052 (local_authority_district = 596, Cornwall; police_force = 50 Devon and Cornwall)</t>
  </si>
  <si>
    <t>4. Сельская местность</t>
  </si>
  <si>
    <t>urban_or_rural_area = 2 (Rural)</t>
  </si>
  <si>
    <t>5. Как в ВКР</t>
  </si>
  <si>
    <t>исключены 2 ДТП января 2009 г. (200950GC2H002, 200950BB2B001), отсутствующие в выгрузке автора ВКР</t>
  </si>
  <si>
    <t>Контроль</t>
  </si>
  <si>
    <t>ДТП в выборке (лист ДТП_Корнуолл)</t>
  </si>
  <si>
    <t>Пострадавших в выборке</t>
  </si>
  <si>
    <t>В ВКР: 170 ДТП, 424 пострадавших (в тексте ВКР — «погибли 424 человека»; фактически это number_of_casualties — все пострадавшие)</t>
  </si>
  <si>
    <t>Почему именно Корнуолл</t>
  </si>
  <si>
    <t>На рис. 2.4 ВКР видны номера ДТП 200950AH2E013, 200950AH2E017, 200950AH2T013, 200950AY2D003, 200950AY2E005.</t>
  </si>
  <si>
    <t>В STATS19 все пять — Cornwall (E06000052), Rural, Fatal. Тот же фильтр по всем годам даёт 172 ДТП / 426 пострадавших;</t>
  </si>
  <si>
    <t>без двух январских ДТП 2009 г. (у автора первое ДТП — 21.02.2009) — ровно 170 ДТП / 424 пострадавших, как в ВКР.</t>
  </si>
  <si>
    <t>Классы дорог не фильтровались: в выборку входят A, B, C и 10 ДТП на неклассифицированных дорогах (автор пишет «A, B, C»).</t>
  </si>
  <si>
    <t>Кодирование факторов (как в ВКР)</t>
  </si>
  <si>
    <t>Фактор ВКР</t>
  </si>
  <si>
    <t>Поле STATS19 и коды</t>
  </si>
  <si>
    <t>Код 1 / код 0</t>
  </si>
  <si>
    <t>Pr — «праздник» (выходные)</t>
  </si>
  <si>
    <t>day_of_week: 1 Sunday, 2 Monday, …, 6 Friday, 7 Saturday</t>
  </si>
  <si>
    <t>1 — пт, сб, вс (6, 7, 1); 0 — пн–чт</t>
  </si>
  <si>
    <t>Cv — освещённость</t>
  </si>
  <si>
    <t>light_conditions: 1 Daylight; 4/5/6/7 Darkness (lit / unlit / no lighting / unknown)</t>
  </si>
  <si>
    <t>1 — дневной свет; 0 — тьма</t>
  </si>
  <si>
    <t>CD — состояние дороги</t>
  </si>
  <si>
    <t>road_surface_conditions: 1 Dry; 2 Wet or damp; 3 Snow; 4 Frost or ice; 5 Flood</t>
  </si>
  <si>
    <t>1 — сухое; 0 — иное (влажное, лёд, вода)</t>
  </si>
  <si>
    <t>t — номер квартала</t>
  </si>
  <si>
    <t>date</t>
  </si>
  <si>
    <t>t = (год − 2009)·4 + квартал, t = 1…36</t>
  </si>
  <si>
    <t>K1…K4 — квартал года</t>
  </si>
  <si>
    <t>фиктивные переменные; K1 — эталонный уровень (K1 = 0)</t>
  </si>
  <si>
    <t>Обработка: Python 3 + pandas, чтение CSV с usecols, порциями по 500 тыс. строк; в книгу перенесены только 172 отобранных ДТП (лист ДТП_Корнуолл).</t>
  </si>
  <si>
    <t>Квартальные суммы (лист Таблица_наблюдений) считаются в Excel формулами СЧЁТЕСЛИМН/СУММЕСЛИМН по листу ДТП_Корнуолл.</t>
  </si>
  <si>
    <t>Отобранные ДТП: Корнуолл, сельская местность, со смертельным исходом, 2009–2017 (172 записи)</t>
  </si>
  <si>
    <t>№</t>
  </si>
  <si>
    <t>collision_index</t>
  </si>
  <si>
    <t>Дата</t>
  </si>
  <si>
    <t>Время</t>
  </si>
  <si>
    <t>Год</t>
  </si>
  <si>
    <t>Кв. года</t>
  </si>
  <si>
    <t>t (1…36)</t>
  </si>
  <si>
    <t>Класс дороги</t>
  </si>
  <si>
    <t>day_of_week</t>
  </si>
  <si>
    <t>День недели</t>
  </si>
  <si>
    <t>light_conditions</t>
  </si>
  <si>
    <t>Освещённость</t>
  </si>
  <si>
    <t>road_surface</t>
  </si>
  <si>
    <t>Покрытие</t>
  </si>
  <si>
    <t>Пострадавших</t>
  </si>
  <si>
    <t>Pr (пт–вс)</t>
  </si>
  <si>
    <t>Cv (свет)</t>
  </si>
  <si>
    <t>CD (сухо)</t>
  </si>
  <si>
    <t>В выборке ВКР</t>
  </si>
  <si>
    <t>200950GC2H002</t>
  </si>
  <si>
    <t>01:56</t>
  </si>
  <si>
    <t>A</t>
  </si>
  <si>
    <t>сб</t>
  </si>
  <si>
    <t>Тьма, без освещения</t>
  </si>
  <si>
    <t>Влажное</t>
  </si>
  <si>
    <t>200950BB2B001</t>
  </si>
  <si>
    <t>21:30</t>
  </si>
  <si>
    <t>B</t>
  </si>
  <si>
    <t>пн</t>
  </si>
  <si>
    <t>200950AY2D003</t>
  </si>
  <si>
    <t>10:12</t>
  </si>
  <si>
    <t>Дневной свет</t>
  </si>
  <si>
    <t>Сухое</t>
  </si>
  <si>
    <t>200950GP2I001</t>
  </si>
  <si>
    <t>08:31</t>
  </si>
  <si>
    <t>C</t>
  </si>
  <si>
    <t>ср</t>
  </si>
  <si>
    <t>200950BS2A012</t>
  </si>
  <si>
    <t>03:05</t>
  </si>
  <si>
    <t>200950BS2A013</t>
  </si>
  <si>
    <t>07:47</t>
  </si>
  <si>
    <t>200950GA2D011</t>
  </si>
  <si>
    <t>19:19</t>
  </si>
  <si>
    <t>200950BL2L006</t>
  </si>
  <si>
    <t>11:46</t>
  </si>
  <si>
    <t>200950AH2E013</t>
  </si>
  <si>
    <t>14:53</t>
  </si>
  <si>
    <t>200950GC2J007</t>
  </si>
  <si>
    <t>22:24</t>
  </si>
  <si>
    <t>200950BT2B001</t>
  </si>
  <si>
    <t>17:30</t>
  </si>
  <si>
    <t>200950BE2C001</t>
  </si>
  <si>
    <t>23:00</t>
  </si>
  <si>
    <t>вт</t>
  </si>
  <si>
    <t>200950AY2E005</t>
  </si>
  <si>
    <t>16:08</t>
  </si>
  <si>
    <t>200950AH2E017</t>
  </si>
  <si>
    <t>22:52</t>
  </si>
  <si>
    <t>вс</t>
  </si>
  <si>
    <t>200950BL2L014</t>
  </si>
  <si>
    <t>15:43</t>
  </si>
  <si>
    <t>пт</t>
  </si>
  <si>
    <t>200950GE4M005</t>
  </si>
  <si>
    <t>01:45</t>
  </si>
  <si>
    <t>200950GT3F040</t>
  </si>
  <si>
    <t>14:23</t>
  </si>
  <si>
    <t>200950GT3I016</t>
  </si>
  <si>
    <t>22:50</t>
  </si>
  <si>
    <t>200950BS2G028</t>
  </si>
  <si>
    <t>05:17</t>
  </si>
  <si>
    <t>200950GT3K020</t>
  </si>
  <si>
    <t>06:45</t>
  </si>
  <si>
    <t>200950GP2K010</t>
  </si>
  <si>
    <t>16:03</t>
  </si>
  <si>
    <t>Тьма, освещение вкл.</t>
  </si>
  <si>
    <t>200950AH2T013</t>
  </si>
  <si>
    <t>22:10</t>
  </si>
  <si>
    <t>Лёд/иней</t>
  </si>
  <si>
    <t>201050GW3O002</t>
  </si>
  <si>
    <t>16:25</t>
  </si>
  <si>
    <t>201050GT3W010</t>
  </si>
  <si>
    <t>04:00</t>
  </si>
  <si>
    <t>201050BB2F001</t>
  </si>
  <si>
    <t>12:31</t>
  </si>
  <si>
    <t>201050GA2A002</t>
  </si>
  <si>
    <t>06:27</t>
  </si>
  <si>
    <t>201050AY2H002</t>
  </si>
  <si>
    <t>10:30</t>
  </si>
  <si>
    <t>201050GA2F001</t>
  </si>
  <si>
    <t>22:30</t>
  </si>
  <si>
    <t>201050BL2M001</t>
  </si>
  <si>
    <t>12:53</t>
  </si>
  <si>
    <t>201050BW3O001</t>
  </si>
  <si>
    <t>15:33</t>
  </si>
  <si>
    <t>Неклассиф.</t>
  </si>
  <si>
    <t>чт</t>
  </si>
  <si>
    <t>201050BL2L004</t>
  </si>
  <si>
    <t>14:05</t>
  </si>
  <si>
    <t>201050BD2J002</t>
  </si>
  <si>
    <t>10:19</t>
  </si>
  <si>
    <t>201050BU2L003</t>
  </si>
  <si>
    <t>23:39</t>
  </si>
  <si>
    <t>201050GC2M006</t>
  </si>
  <si>
    <t>21:16</t>
  </si>
  <si>
    <t>201050AH2E006</t>
  </si>
  <si>
    <t>10:11</t>
  </si>
  <si>
    <t>201050BT2F003</t>
  </si>
  <si>
    <t>19:46</t>
  </si>
  <si>
    <t>201050AP2B004</t>
  </si>
  <si>
    <t>10:28</t>
  </si>
  <si>
    <t>201050GA2A023</t>
  </si>
  <si>
    <t>02:52</t>
  </si>
  <si>
    <t>201050GP2K007</t>
  </si>
  <si>
    <t>23:37</t>
  </si>
  <si>
    <t>201050AH2D004</t>
  </si>
  <si>
    <t>07:30</t>
  </si>
  <si>
    <t>201050GC2M012</t>
  </si>
  <si>
    <t>15:17</t>
  </si>
  <si>
    <t>201050AH3S007</t>
  </si>
  <si>
    <t>17:55</t>
  </si>
  <si>
    <t>201050AC2D027</t>
  </si>
  <si>
    <t>22:05</t>
  </si>
  <si>
    <t>201150AC3J003</t>
  </si>
  <si>
    <t>00:23</t>
  </si>
  <si>
    <t>201150GA2A006</t>
  </si>
  <si>
    <t>12:40</t>
  </si>
  <si>
    <t>201150GR2F003</t>
  </si>
  <si>
    <t>14:31</t>
  </si>
  <si>
    <t>201150AH2Q008</t>
  </si>
  <si>
    <t>15:25</t>
  </si>
  <si>
    <t>201150BL2Q002</t>
  </si>
  <si>
    <t>02:40</t>
  </si>
  <si>
    <t>201150GT3I005</t>
  </si>
  <si>
    <t>12:19</t>
  </si>
  <si>
    <t>201150GC2H015</t>
  </si>
  <si>
    <t>13:46</t>
  </si>
  <si>
    <t>201150BS2M005</t>
  </si>
  <si>
    <t>08:40</t>
  </si>
  <si>
    <t>201150BC2L001</t>
  </si>
  <si>
    <t>14:00</t>
  </si>
  <si>
    <t>201150GN2L015</t>
  </si>
  <si>
    <t>09:02</t>
  </si>
  <si>
    <t>201150BD2K012</t>
  </si>
  <si>
    <t>12:45</t>
  </si>
  <si>
    <t>201150AH2E013</t>
  </si>
  <si>
    <t>20:09</t>
  </si>
  <si>
    <t>201150GE4M004</t>
  </si>
  <si>
    <t>11:31</t>
  </si>
  <si>
    <t>201150GT3M001</t>
  </si>
  <si>
    <t>17:12</t>
  </si>
  <si>
    <t>201150AC3G006</t>
  </si>
  <si>
    <t>01:21</t>
  </si>
  <si>
    <t>201150BW3Q011</t>
  </si>
  <si>
    <t>19:45</t>
  </si>
  <si>
    <t>201150AP2F005</t>
  </si>
  <si>
    <t>20:35</t>
  </si>
  <si>
    <t>201250BW3N002</t>
  </si>
  <si>
    <t>21:47</t>
  </si>
  <si>
    <t>201250BT2B001</t>
  </si>
  <si>
    <t>03:00</t>
  </si>
  <si>
    <t>201250GA2A003</t>
  </si>
  <si>
    <t>17:03</t>
  </si>
  <si>
    <t>201250BC2H003</t>
  </si>
  <si>
    <t>13:22</t>
  </si>
  <si>
    <t>201250GA2D009</t>
  </si>
  <si>
    <t>15:45</t>
  </si>
  <si>
    <t>201250AP2B002</t>
  </si>
  <si>
    <t>19:15</t>
  </si>
  <si>
    <t>201250GW3R004</t>
  </si>
  <si>
    <t>15:37</t>
  </si>
  <si>
    <t>201250GC2M005</t>
  </si>
  <si>
    <t>10:36</t>
  </si>
  <si>
    <t>201250AC3J024</t>
  </si>
  <si>
    <t>03:38</t>
  </si>
  <si>
    <t>201250AY2H008</t>
  </si>
  <si>
    <t>14:10</t>
  </si>
  <si>
    <t>201250BD2E006</t>
  </si>
  <si>
    <t>14:20</t>
  </si>
  <si>
    <t>201250AC3J029</t>
  </si>
  <si>
    <t>10:45</t>
  </si>
  <si>
    <t>201250GW3N008</t>
  </si>
  <si>
    <t>14:49</t>
  </si>
  <si>
    <t>201250GT3F036</t>
  </si>
  <si>
    <t>00:32</t>
  </si>
  <si>
    <t>201250AC2C020</t>
  </si>
  <si>
    <t>09:29</t>
  </si>
  <si>
    <t>201250AH3S006</t>
  </si>
  <si>
    <t>11:25</t>
  </si>
  <si>
    <t>201250BE2A004</t>
  </si>
  <si>
    <t>20:25</t>
  </si>
  <si>
    <t>201250GP2J005</t>
  </si>
  <si>
    <t>11:22</t>
  </si>
  <si>
    <t>201250BB2D008</t>
  </si>
  <si>
    <t>10:07</t>
  </si>
  <si>
    <t>201250GA2S006</t>
  </si>
  <si>
    <t>07:03</t>
  </si>
  <si>
    <t>201250AY2H011</t>
  </si>
  <si>
    <t>08:43</t>
  </si>
  <si>
    <t>201350BL2K002</t>
  </si>
  <si>
    <t>19:10</t>
  </si>
  <si>
    <t>201350GT3E001</t>
  </si>
  <si>
    <t>15:24</t>
  </si>
  <si>
    <t>201350GT3K003</t>
  </si>
  <si>
    <t>16:07</t>
  </si>
  <si>
    <t>201350BU2A002</t>
  </si>
  <si>
    <t>07:14</t>
  </si>
  <si>
    <t>201350GT3F006</t>
  </si>
  <si>
    <t>10:39</t>
  </si>
  <si>
    <t>201350AP2X002</t>
  </si>
  <si>
    <t>201350AY2H002</t>
  </si>
  <si>
    <t>02:59</t>
  </si>
  <si>
    <t>201350GR2G007</t>
  </si>
  <si>
    <t>20:15</t>
  </si>
  <si>
    <t>201350GR2E001</t>
  </si>
  <si>
    <t>08:35</t>
  </si>
  <si>
    <t>201350AH2S006</t>
  </si>
  <si>
    <t>12:50</t>
  </si>
  <si>
    <t>201350AH2R011</t>
  </si>
  <si>
    <t>201350AP2M019</t>
  </si>
  <si>
    <t>201350AH2S012</t>
  </si>
  <si>
    <t>09:00</t>
  </si>
  <si>
    <t>201350BS2G029</t>
  </si>
  <si>
    <t>23:46</t>
  </si>
  <si>
    <t>201350BC2N002</t>
  </si>
  <si>
    <t>11:12</t>
  </si>
  <si>
    <t>201350BL2L014</t>
  </si>
  <si>
    <t>17:05</t>
  </si>
  <si>
    <t>201350BL2K055</t>
  </si>
  <si>
    <t>05:50</t>
  </si>
  <si>
    <t>201350BL2L016</t>
  </si>
  <si>
    <t>12:04</t>
  </si>
  <si>
    <t>201450BL2M001</t>
  </si>
  <si>
    <t>08:11</t>
  </si>
  <si>
    <t>201450AH2E002</t>
  </si>
  <si>
    <t>08:04</t>
  </si>
  <si>
    <t>201450AC3J012</t>
  </si>
  <si>
    <t>00:35</t>
  </si>
  <si>
    <t>201450BC2G002</t>
  </si>
  <si>
    <t>12:05</t>
  </si>
  <si>
    <t>201450GC2H003</t>
  </si>
  <si>
    <t>14:21</t>
  </si>
  <si>
    <t>201450BU2A002</t>
  </si>
  <si>
    <t>21:00</t>
  </si>
  <si>
    <t>201450BW3S002</t>
  </si>
  <si>
    <t>14:13</t>
  </si>
  <si>
    <t>201450AH2T005</t>
  </si>
  <si>
    <t>15:50</t>
  </si>
  <si>
    <t>201450GR2D005</t>
  </si>
  <si>
    <t>20:34</t>
  </si>
  <si>
    <t>201450AH2G002</t>
  </si>
  <si>
    <t>16:41</t>
  </si>
  <si>
    <t>201450AH2R003</t>
  </si>
  <si>
    <t>19:02</t>
  </si>
  <si>
    <t>201450BE2I003</t>
  </si>
  <si>
    <t>12:56</t>
  </si>
  <si>
    <t>201450GC2H019</t>
  </si>
  <si>
    <t>16:58</t>
  </si>
  <si>
    <t>201450BB2C005</t>
  </si>
  <si>
    <t>201450AH2N002</t>
  </si>
  <si>
    <t>10:16</t>
  </si>
  <si>
    <t>201450GE4Q003</t>
  </si>
  <si>
    <t>17:53</t>
  </si>
  <si>
    <t>201450BS2G024</t>
  </si>
  <si>
    <t>07:20</t>
  </si>
  <si>
    <t>201450BD2G006</t>
  </si>
  <si>
    <t>14:50</t>
  </si>
  <si>
    <t>201450AI3J010</t>
  </si>
  <si>
    <t>17:16</t>
  </si>
  <si>
    <t>201450BW3T007</t>
  </si>
  <si>
    <t>01:03</t>
  </si>
  <si>
    <t>201450BC2H010</t>
  </si>
  <si>
    <t>11:26</t>
  </si>
  <si>
    <t>201450BN2B006</t>
  </si>
  <si>
    <t>12:30</t>
  </si>
  <si>
    <t>201450BC2M001</t>
  </si>
  <si>
    <t>12:06</t>
  </si>
  <si>
    <t>201550AH2S001</t>
  </si>
  <si>
    <t>11:32</t>
  </si>
  <si>
    <t>201550BC2G004</t>
  </si>
  <si>
    <t>12:55</t>
  </si>
  <si>
    <t>201550AY2E004</t>
  </si>
  <si>
    <t>07:10</t>
  </si>
  <si>
    <t>201550GR2C006</t>
  </si>
  <si>
    <t>03:18</t>
  </si>
  <si>
    <t>201550GR2B015</t>
  </si>
  <si>
    <t>22:45</t>
  </si>
  <si>
    <t>201550BL2L009</t>
  </si>
  <si>
    <t>22:01</t>
  </si>
  <si>
    <t>201550GP2K004</t>
  </si>
  <si>
    <t>04:48</t>
  </si>
  <si>
    <t>201550BW3S011</t>
  </si>
  <si>
    <t>19:18</t>
  </si>
  <si>
    <t>201650GP2A001</t>
  </si>
  <si>
    <t>01:49</t>
  </si>
  <si>
    <t>201650BT2H002</t>
  </si>
  <si>
    <t>17:17</t>
  </si>
  <si>
    <t>201650GE4N001</t>
  </si>
  <si>
    <t>10:57</t>
  </si>
  <si>
    <t>201650GW3P001</t>
  </si>
  <si>
    <t>00:45</t>
  </si>
  <si>
    <t>2016500063005</t>
  </si>
  <si>
    <t>06:28</t>
  </si>
  <si>
    <t>2016500071970</t>
  </si>
  <si>
    <t>10:27</t>
  </si>
  <si>
    <t>2016500081367</t>
  </si>
  <si>
    <t>07:40</t>
  </si>
  <si>
    <t>2016500080582</t>
  </si>
  <si>
    <t>20:44</t>
  </si>
  <si>
    <t>2016500091863</t>
  </si>
  <si>
    <t>04:44</t>
  </si>
  <si>
    <t>2016500100681</t>
  </si>
  <si>
    <t>22:29</t>
  </si>
  <si>
    <t>2016500096385</t>
  </si>
  <si>
    <t>16:38</t>
  </si>
  <si>
    <t>2016500104178</t>
  </si>
  <si>
    <t>12:36</t>
  </si>
  <si>
    <t>2016500097340</t>
  </si>
  <si>
    <t>02:11</t>
  </si>
  <si>
    <t>2016500097769</t>
  </si>
  <si>
    <t>21:22</t>
  </si>
  <si>
    <t>2016500102159</t>
  </si>
  <si>
    <t>06:58</t>
  </si>
  <si>
    <t>2016500107607</t>
  </si>
  <si>
    <t>05:27</t>
  </si>
  <si>
    <t>2016500109611</t>
  </si>
  <si>
    <t>08:29</t>
  </si>
  <si>
    <t>2016500127903</t>
  </si>
  <si>
    <t>2016500126304</t>
  </si>
  <si>
    <t>00:11</t>
  </si>
  <si>
    <t>2016500128344</t>
  </si>
  <si>
    <t>17:13</t>
  </si>
  <si>
    <t>2016500141520</t>
  </si>
  <si>
    <t>15:13</t>
  </si>
  <si>
    <t>2017500145465</t>
  </si>
  <si>
    <t>18:48</t>
  </si>
  <si>
    <t>2017500151534</t>
  </si>
  <si>
    <t>22:32</t>
  </si>
  <si>
    <t>2017500167456</t>
  </si>
  <si>
    <t>21:45</t>
  </si>
  <si>
    <t>2017500164790</t>
  </si>
  <si>
    <t>16:40</t>
  </si>
  <si>
    <t>2017500171152</t>
  </si>
  <si>
    <t>23:12</t>
  </si>
  <si>
    <t>2017500181932</t>
  </si>
  <si>
    <t>22:11</t>
  </si>
  <si>
    <t>2017500185684</t>
  </si>
  <si>
    <t>20:53</t>
  </si>
  <si>
    <t>2017500189799</t>
  </si>
  <si>
    <t>12:18</t>
  </si>
  <si>
    <t>2017500193308</t>
  </si>
  <si>
    <t>11:34</t>
  </si>
  <si>
    <t>2017500194936</t>
  </si>
  <si>
    <t>2017500205564</t>
  </si>
  <si>
    <t>11:13</t>
  </si>
  <si>
    <t>2017500202809</t>
  </si>
  <si>
    <t>13:49</t>
  </si>
  <si>
    <t>2017500207353</t>
  </si>
  <si>
    <t>16:26</t>
  </si>
  <si>
    <t>2017500215756</t>
  </si>
  <si>
    <t>14:06</t>
  </si>
  <si>
    <t>2017500226542</t>
  </si>
  <si>
    <t>15:52</t>
  </si>
  <si>
    <t>2017500230244</t>
  </si>
  <si>
    <t>2017500236730</t>
  </si>
  <si>
    <t>18:09</t>
  </si>
  <si>
    <t>2017500247961</t>
  </si>
  <si>
    <t>17:20</t>
  </si>
  <si>
    <t>2017500247958</t>
  </si>
  <si>
    <t>07:35</t>
  </si>
  <si>
    <t>2017500252381</t>
  </si>
  <si>
    <t>17:48</t>
  </si>
  <si>
    <t>Тьма, освещение выкл.</t>
  </si>
  <si>
    <t>2017500252666</t>
  </si>
  <si>
    <t>23:50</t>
  </si>
  <si>
    <t>Итого:</t>
  </si>
  <si>
    <t>Таблица наблюдений по кварталам (аналог рис. 2.7 ВКР)</t>
  </si>
  <si>
    <t>t</t>
  </si>
  <si>
    <t>Кв.</t>
  </si>
  <si>
    <t>Y</t>
  </si>
  <si>
    <t>Pr</t>
  </si>
  <si>
    <t>Cv</t>
  </si>
  <si>
    <t>CD</t>
  </si>
  <si>
    <t>K1</t>
  </si>
  <si>
    <t>K2</t>
  </si>
  <si>
    <t>K3</t>
  </si>
  <si>
    <t>K4</t>
  </si>
  <si>
    <t>Y (ВКР)</t>
  </si>
  <si>
    <t>Pr (ВКР)</t>
  </si>
  <si>
    <t>Cv (ВКР)</t>
  </si>
  <si>
    <t>CD (ВКР)</t>
  </si>
  <si>
    <t>ΔY</t>
  </si>
  <si>
    <t>ΔPr</t>
  </si>
  <si>
    <t>ΔCv</t>
  </si>
  <si>
    <t>ΔCD</t>
  </si>
  <si>
    <t>Y (172)</t>
  </si>
  <si>
    <t>Pr (172)</t>
  </si>
  <si>
    <t>Cv (172)</t>
  </si>
  <si>
    <t>CD (172)</t>
  </si>
  <si>
    <t>Σ</t>
  </si>
  <si>
    <t>МНК-оценки модели (2.3) по данным STATS19 (выборка как в ВКР, 170 ДТП)</t>
  </si>
  <si>
    <t>Y(t) = A0 + A1·t + K1δ1 + K2δ2 + K3δ3 + K4δ4 + Pr·δPr + Cv·δCv + CD·δCD; K1 — эталон (= 0). 35 кварталов (III кв. 2010 г. без ДТП исключён, как у автора)</t>
  </si>
  <si>
    <t>1</t>
  </si>
  <si>
    <t>Ŷ</t>
  </si>
  <si>
    <t>E = Y − Ŷ</t>
  </si>
  <si>
    <t>E²</t>
  </si>
  <si>
    <t>ЛИНЕЙН(Y; t…CD; ИСТИНА; ИСТИНА) — порядок коэффициентов обратный</t>
  </si>
  <si>
    <t>A1</t>
  </si>
  <si>
    <t>A0</t>
  </si>
  <si>
    <t>коэффициент</t>
  </si>
  <si>
    <t>ст. ошибка</t>
  </si>
  <si>
    <t>R² | s</t>
  </si>
  <si>
    <t>F | df</t>
  </si>
  <si>
    <t>SSR | SSE</t>
  </si>
  <si>
    <t>Коэффициенты модели (2.3)</t>
  </si>
  <si>
    <t>значение</t>
  </si>
  <si>
    <t>—</t>
  </si>
  <si>
    <t>t-статистика</t>
  </si>
  <si>
    <t>Критическое t (α = 0,05; df = 27):</t>
  </si>
  <si>
    <t>Проверка: решение нормальных уравнений b = (XᵀX)⁻¹·Xᵀy (МУМНОЖ, МОБР, ТРАНСП)</t>
  </si>
  <si>
    <t>Качество модели</t>
  </si>
  <si>
    <t>n (наблюдений)</t>
  </si>
  <si>
    <t>k (параметров)</t>
  </si>
  <si>
    <t>SSE = ΣE²</t>
  </si>
  <si>
    <t>SST = ДИСП.Σ(Y)</t>
  </si>
  <si>
    <t>R² = 1 − SSE/SST</t>
  </si>
  <si>
    <t>R (множественный)</t>
  </si>
  <si>
    <t>F-статистика</t>
  </si>
  <si>
    <t>p-значение F</t>
  </si>
  <si>
    <t>СКО остатков s</t>
  </si>
  <si>
    <t>Среднее E² (как М37 у автора)</t>
  </si>
  <si>
    <t>Повтор МНК по таблице автора ВКР (рис. 3.2) — проверка его коэффициентов</t>
  </si>
  <si>
    <t>Исходные данные перенесены из рис. 3.2 ВКР без изменений. Автор решал задачу «Поиском решения» (ОПГ); здесь — ЛИНЕЙН и нормальные уравнения</t>
  </si>
  <si>
    <t>Коэффициенты, опубликованные в ВКР (рис. 3.2, строка 42)</t>
  </si>
  <si>
    <t>ВКР</t>
  </si>
  <si>
    <t>Разница (ЛИНЕЙН − ВКР)</t>
  </si>
  <si>
    <t>Ŷ из ВКР (столбец K рис. 3.2) для сверки:</t>
  </si>
  <si>
    <t>Ŷ (ВКР)</t>
  </si>
  <si>
    <t>Ŷ (ЛИНЕЙН)</t>
  </si>
  <si>
    <t>Разница</t>
  </si>
  <si>
    <t>Чувствительность: МНК по всем 172 ДТП (без исключения двух январских ДТП 2009 г.)</t>
  </si>
  <si>
    <t>Отличается от листа МНК_STATS19 только первым кварталом 2009 г. (Y = 3 вместо 1)</t>
  </si>
  <si>
    <t>Итоговая оценочная таблица причин ДТП за 2017 г. (аналог табл. 3.1 ВКР)</t>
  </si>
  <si>
    <t>Базовое число = A0 + A1·t + Kкв + CD·δCD; вклад «праздников» = Pr·δPr; вклад освещённости = Cv·δCv (у автора подписан «рост за счёт тьмы», но по кодировке δCv — число ДТП при дневном свете)</t>
  </si>
  <si>
    <t>А. Повтор по данным STATS19 (коэффициенты листа МНК_STATS19)</t>
  </si>
  <si>
    <t>Данные для графиков (блок А)</t>
  </si>
  <si>
    <t>Факт Y</t>
  </si>
  <si>
    <t>δPr</t>
  </si>
  <si>
    <t>δCv</t>
  </si>
  <si>
    <t>δCD</t>
  </si>
  <si>
    <t>Базовое</t>
  </si>
  <si>
    <t>Праздники</t>
  </si>
  <si>
    <t>Освещ.</t>
  </si>
  <si>
    <t>Итого Ŷ</t>
  </si>
  <si>
    <t>Факт − Ŷ</t>
  </si>
  <si>
    <t>Факт: ДТП пт–вс</t>
  </si>
  <si>
    <t>Модель: вклад праздников</t>
  </si>
  <si>
    <t>Факт: ДТП на сухой дороге</t>
  </si>
  <si>
    <t>Модель: базовое число</t>
  </si>
  <si>
    <t>Факт: ДТП при свете</t>
  </si>
  <si>
    <t>Модель: вклад освещённости</t>
  </si>
  <si>
    <t>Факт: всего ДТП</t>
  </si>
  <si>
    <t>Модель: Ŷ</t>
  </si>
  <si>
    <t>2017</t>
  </si>
  <si>
    <t>Погрешность |Факт − Ŷ| / Факт:</t>
  </si>
  <si>
    <t>Б. Пересчёт по таблице и коэффициентам ВКР (лист МНК_ВКР)</t>
  </si>
  <si>
    <t>В. Табл. 3.1 ВКР — опубликованные значения (рис. 3.1)</t>
  </si>
  <si>
    <t>δCv*</t>
  </si>
  <si>
    <t>«Тьма»</t>
  </si>
  <si>
    <t>Итого</t>
  </si>
  <si>
    <t>Факт − итого</t>
  </si>
  <si>
    <t>Сравнение результатов с ВКР</t>
  </si>
  <si>
    <t>Все значения — ссылки на расчётные листы</t>
  </si>
  <si>
    <t>Показатель</t>
  </si>
  <si>
    <t>ВКР (рис. 3.2)</t>
  </si>
  <si>
    <t>ЛИНЕЙН по таблице ВКР</t>
  </si>
  <si>
    <t>STATS19, 170 ДТП</t>
  </si>
  <si>
    <t>STATS19, 172 ДТП</t>
  </si>
  <si>
    <t>Ст. ошибка (170)</t>
  </si>
  <si>
    <t>t-стат. (170)</t>
  </si>
  <si>
    <t>Разница 170 − ВКР</t>
  </si>
  <si>
    <t>R²</t>
  </si>
  <si>
    <t>0,92 (заявлено в докладе)</t>
  </si>
  <si>
    <t>SSE</t>
  </si>
  <si>
    <t>Число наблюдений (кварталов)</t>
  </si>
  <si>
    <t>Σ Y (ДТП в таблице)</t>
  </si>
  <si>
    <t>170 (текст) / 162 (таблица)</t>
  </si>
  <si>
    <t>2017: факт ДТП</t>
  </si>
  <si>
    <t>2017: модель Σ Ŷ</t>
  </si>
  <si>
    <t>20 (табл. 3.1: 19,96)</t>
  </si>
  <si>
    <t>2017: погрешность</t>
  </si>
  <si>
    <t>4,8 %</t>
  </si>
  <si>
    <t>Выводы сравнения:</t>
  </si>
  <si>
    <t>1. Коэффициенты рис. 3.2 ВКР — точное МНК-решение для таблицы автора (ЛИНЕЙН и нормальные уравнения дают те же значения до 4-го знака).</t>
  </si>
  <si>
    <t>2. Фильтр «Корнуолл + сельская местность + Fatal, 2009–2017» по STATS19 воспроизводит объём выборки ВКР: 170 ДТП и 424 пострадавших.</t>
  </si>
  <si>
    <t>3. В таблице автора сумма Y = 162, а не 170: в 9 кварталах Y отличается от STATS19; по фрагменту списка автора (рис. 2.6) это ошибки подсчёта (II кв. 2009 г.: 9 ДТП в списке, Y = 7).</t>
  </si>
  <si>
    <t>4. Коэффициенты факторов на исправленных данных близки к ВКР (Pr 0,57 vs 0,56; Cv 0,35 vs 0,33; CD 0,52 vs 0,44) — различия меньше одной ст. ошибки.</t>
  </si>
  <si>
    <t>5. Тренд A1 и сезонные K2, K3 незначимы (|t| &lt; 2,1); значимы Pr и CD, Cv — на границе; K4 (IV кв.) — около границы значимости.</t>
  </si>
  <si>
    <t>6. R² = 0,84 по таблице автора (0,92 в докладе — это множественный R), 0,74 — по исправленным данным.</t>
  </si>
  <si>
    <t>7. Опубликованная табл. 3.1 не пересчитывается из коэффициентов рис. 3.2 (блок Б листа Оценочная_2017); пересчёт даёт Σ Ŷ = 19,58 при факте 21.</t>
  </si>
  <si>
    <t>Пример из п. 1.2 ВКР: вес индеек, возраст и штат (табл. 1.1)</t>
  </si>
  <si>
    <t>y = β0 + β1·x + δ1·d1 + δ2·d2; d1 — Джорджия, d2 — Виргиния, эталон — Висконсин</t>
  </si>
  <si>
    <t>y, фунты</t>
  </si>
  <si>
    <t>x, недели</t>
  </si>
  <si>
    <t>Штат</t>
  </si>
  <si>
    <t>d1</t>
  </si>
  <si>
    <t>d2</t>
  </si>
  <si>
    <t>ŷ (МНК)</t>
  </si>
  <si>
    <t>E² (МНК)</t>
  </si>
  <si>
    <t>ŷ (ВКР)</t>
  </si>
  <si>
    <t>E² (ВКР)</t>
  </si>
  <si>
    <t>Для ЛИНЕЙН d1, d2 должны стоять рядом с x — используются столбцы C, E, F через вспомогательный блок R:T</t>
  </si>
  <si>
    <t>x</t>
  </si>
  <si>
    <t>Джорджия</t>
  </si>
  <si>
    <t>Параметр</t>
  </si>
  <si>
    <t>МНК (ЛИНЕЙН)</t>
  </si>
  <si>
    <t>ВКР (оценки из [10])</t>
  </si>
  <si>
    <t>β0</t>
  </si>
  <si>
    <t>β1</t>
  </si>
  <si>
    <t>δ1</t>
  </si>
  <si>
    <t>Виргиния</t>
  </si>
  <si>
    <t>δ2</t>
  </si>
  <si>
    <t>ЛИНЕЙН (порядок: δ2, δ1, β1, β0)</t>
  </si>
  <si>
    <t>Висконсин</t>
  </si>
  <si>
    <t>Σ E²</t>
  </si>
  <si>
    <t>В ВКР приведены точечные оценки по нестатистическому методу (метод центра неопределённости, по [10]): β1 = 0,400; МНК даёт β1 = 0,487.</t>
  </si>
  <si>
    <t>Наклон одинаков для всех штатов — различаются только свободные члены: это и есть идея ковариационного анализа с фиктивными переменными.</t>
  </si>
  <si>
    <t>Синие столбцы P–R — кодирование факторов формулами; S — признак попадания в выборку ВКР (170 ДТП)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</si>
</sst>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\ ##0"/>
    <numFmt numFmtId="165" formatCode="dd\.mm\.yyyy"/>
    <numFmt numFmtId="166" formatCode="0.000"/>
    <numFmt numFmtId="167" formatCode="0.0000"/>
    <numFmt numFmtId="168" formatCode="0.0%"/>
    <numFmt numFmtId="169" formatCode="0.0"/>
  </numFmts>
  <fonts count="11" x14ac:knownFonts="1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charset val="204"/>
    </font>
    <font>
      <i/>
      <sz val="11"/>
      <color rgb="FF595959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FFFFFF"/>
      <name val="Calibri"/>
      <family val="2"/>
      <charset val="204"/>
    </font>
    <font>
      <i/>
      <sz val="11"/>
      <name val="Calibri"/>
      <family val="2"/>
      <charset val="204"/>
    </font>
    <font>
      <b/>
      <sz val="11"/>
      <color rgb="FF1F3864"/>
      <name val="Calibri"/>
      <family val="2"/>
      <charset val="204"/>
    </font>
    <font>
      <sz val="11"/>
      <name val="Calibri"/>
      <family val="2"/>
      <charset val="204"/>
    </font>
    <font>
      <b/>
      <sz val="14"/>
      <name val="Calibri"/>
      <family val="2"/>
      <charset val="204"/>
    </font>
    <font>
      <sz val="11"/>
      <name val="Calibri"/>
      <family val="2"/>
      <charset val="204"/>
      <scheme val="minor"/>
    </font>
    <font>
      <b/>
      <sz val="12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0" borderId="0" xfId="0" applyFont="1"/>
    <xf numFmtId="165" fontId="0" fillId="0" borderId="1" xfId="0" applyNumberFormat="1" applyBorder="1"/>
    <xf numFmtId="0" fontId="0" fillId="4" borderId="1" xfId="0" applyFill="1" applyBorder="1"/>
    <xf numFmtId="0" fontId="6" fillId="0" borderId="0" xfId="0" applyFont="1"/>
    <xf numFmtId="166" fontId="0" fillId="0" borderId="1" xfId="0" applyNumberFormat="1" applyBorder="1"/>
    <xf numFmtId="167" fontId="0" fillId="5" borderId="1" xfId="0" applyNumberFormat="1" applyFill="1" applyBorder="1"/>
    <xf numFmtId="167" fontId="3" fillId="3" borderId="1" xfId="0" applyNumberFormat="1" applyFont="1" applyFill="1" applyBorder="1"/>
    <xf numFmtId="167" fontId="0" fillId="0" borderId="1" xfId="0" applyNumberFormat="1" applyBorder="1"/>
    <xf numFmtId="166" fontId="0" fillId="0" borderId="0" xfId="0" applyNumberFormat="1"/>
    <xf numFmtId="166" fontId="3" fillId="0" borderId="0" xfId="0" applyNumberFormat="1" applyFont="1"/>
    <xf numFmtId="1" fontId="3" fillId="0" borderId="1" xfId="0" applyNumberFormat="1" applyFont="1" applyBorder="1"/>
    <xf numFmtId="2" fontId="3" fillId="0" borderId="1" xfId="0" applyNumberFormat="1" applyFont="1" applyBorder="1"/>
    <xf numFmtId="0" fontId="7" fillId="0" borderId="0" xfId="0" applyFont="1"/>
    <xf numFmtId="0" fontId="3" fillId="0" borderId="0" xfId="0" applyFont="1" applyFill="1"/>
    <xf numFmtId="0" fontId="5" fillId="0" borderId="0" xfId="0" applyFont="1" applyFill="1"/>
    <xf numFmtId="0" fontId="8" fillId="0" borderId="0" xfId="0" applyFont="1" applyFill="1"/>
    <xf numFmtId="0" fontId="9" fillId="0" borderId="0" xfId="0" applyFont="1" applyFill="1" applyAlignment="1">
      <alignment vertical="top" wrapText="1"/>
    </xf>
    <xf numFmtId="0" fontId="9" fillId="0" borderId="0" xfId="0" applyFont="1" applyFill="1"/>
    <xf numFmtId="0" fontId="10" fillId="0" borderId="0" xfId="0" applyFont="1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top" wrapText="1"/>
    </xf>
    <xf numFmtId="0" fontId="9" fillId="0" borderId="1" xfId="0" applyFont="1" applyFill="1" applyBorder="1"/>
    <xf numFmtId="0" fontId="9" fillId="0" borderId="1" xfId="0" applyFont="1" applyFill="1" applyBorder="1" applyAlignment="1">
      <alignment vertical="top" wrapText="1"/>
    </xf>
    <xf numFmtId="164" fontId="9" fillId="0" borderId="1" xfId="0" applyNumberFormat="1" applyFont="1" applyFill="1" applyBorder="1"/>
    <xf numFmtId="0" fontId="0" fillId="6" borderId="1" xfId="0" applyFill="1" applyBorder="1"/>
    <xf numFmtId="0" fontId="0" fillId="7" borderId="1" xfId="0" applyFill="1" applyBorder="1"/>
    <xf numFmtId="165" fontId="0" fillId="7" borderId="1" xfId="0" applyNumberFormat="1" applyFill="1" applyBorder="1"/>
    <xf numFmtId="0" fontId="8" fillId="0" borderId="0" xfId="0" applyFont="1"/>
    <xf numFmtId="0" fontId="9" fillId="0" borderId="0" xfId="0" applyFont="1"/>
    <xf numFmtId="0" fontId="9" fillId="0" borderId="1" xfId="0" applyFont="1" applyBorder="1"/>
    <xf numFmtId="166" fontId="9" fillId="0" borderId="1" xfId="0" applyNumberFormat="1" applyFont="1" applyBorder="1"/>
    <xf numFmtId="167" fontId="9" fillId="5" borderId="1" xfId="0" applyNumberFormat="1" applyFont="1" applyFill="1" applyBorder="1"/>
    <xf numFmtId="167" fontId="9" fillId="0" borderId="1" xfId="0" applyNumberFormat="1" applyFont="1" applyBorder="1"/>
    <xf numFmtId="166" fontId="9" fillId="0" borderId="0" xfId="0" applyNumberFormat="1" applyFont="1"/>
    <xf numFmtId="167" fontId="9" fillId="0" borderId="1" xfId="0" applyNumberFormat="1" applyFont="1" applyFill="1" applyBorder="1"/>
    <xf numFmtId="167" fontId="9" fillId="6" borderId="1" xfId="0" applyNumberFormat="1" applyFont="1" applyFill="1" applyBorder="1"/>
    <xf numFmtId="166" fontId="9" fillId="0" borderId="1" xfId="0" applyNumberFormat="1" applyFont="1" applyFill="1" applyBorder="1"/>
    <xf numFmtId="0" fontId="10" fillId="0" borderId="0" xfId="0" applyFont="1"/>
    <xf numFmtId="1" fontId="9" fillId="0" borderId="1" xfId="0" applyNumberFormat="1" applyFont="1" applyBorder="1"/>
    <xf numFmtId="2" fontId="9" fillId="0" borderId="1" xfId="0" applyNumberFormat="1" applyFont="1" applyBorder="1"/>
    <xf numFmtId="168" fontId="9" fillId="0" borderId="0" xfId="0" applyNumberFormat="1" applyFont="1"/>
    <xf numFmtId="1" fontId="9" fillId="0" borderId="1" xfId="0" applyNumberFormat="1" applyFont="1" applyFill="1" applyBorder="1"/>
    <xf numFmtId="2" fontId="9" fillId="0" borderId="1" xfId="0" applyNumberFormat="1" applyFont="1" applyFill="1" applyBorder="1"/>
    <xf numFmtId="1" fontId="3" fillId="0" borderId="1" xfId="0" applyNumberFormat="1" applyFont="1" applyFill="1" applyBorder="1"/>
    <xf numFmtId="2" fontId="3" fillId="0" borderId="1" xfId="0" applyNumberFormat="1" applyFont="1" applyFill="1" applyBorder="1"/>
    <xf numFmtId="168" fontId="9" fillId="0" borderId="0" xfId="0" applyNumberFormat="1" applyFont="1" applyFill="1"/>
    <xf numFmtId="168" fontId="9" fillId="0" borderId="1" xfId="0" applyNumberFormat="1" applyFont="1" applyBorder="1"/>
    <xf numFmtId="169" fontId="9" fillId="0" borderId="1" xfId="0" applyNumberFormat="1" applyFont="1" applyBorder="1"/>
    <xf numFmtId="0" fontId="9" fillId="0" borderId="2" xfId="0" applyFont="1" applyBorder="1"/>
    <xf numFmtId="167" fontId="9" fillId="0" borderId="1" xfId="0" applyNumberFormat="1" applyFont="1" applyBorder="1"/>
    <xf numFmtId="169" fontId="9" fillId="0" borderId="1" xfId="0" applyNumberFormat="1" applyFont="1" applyFill="1" applyBorder="1"/>
    <xf numFmtId="0" fontId="3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/>
  </cellXfs>
  <cellStyles count="1">
    <cellStyle name="Обычный" xfId="0" builtinId="0"/>
  </cellStyles>
  <dxfs count="1"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Праздники (пт–вс), </a:t>
            </a:r>
            <a:r>
              <a:rPr lang="en-US"/>
              <a:t>t = 33…36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Фактически</c:v>
          </c:tx>
          <c:spPr>
            <a:ln w="28000">
              <a:solidFill>
                <a:srgbClr val="2E7D32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c:spPr>
          </c:marker>
          <c:xVal>
            <c:numRef>
              <c:f>Оценочная_2017!$M$6:$M$9</c:f>
              <c:numCache>
                <c:formatCode>0</c:formatCode>
                <c:ptCount val="4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</c:numCache>
            </c:numRef>
          </c:xVal>
          <c:yVal>
            <c:numRef>
              <c:f>Оценочная_2017!$N$6:$N$9</c:f>
              <c:numCache>
                <c:formatCode>0.00</c:formatCode>
                <c:ptCount val="4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34-419C-973D-EC057D3DAA65}"/>
            </c:ext>
          </c:extLst>
        </c:ser>
        <c:ser>
          <c:idx val="1"/>
          <c:order val="1"/>
          <c:tx>
            <c:v>Модель</c:v>
          </c:tx>
          <c:spPr>
            <a:ln w="28000">
              <a:solidFill>
                <a:srgbClr val="1565C0"/>
              </a:solidFill>
              <a:prstDash val="dash"/>
            </a:ln>
          </c:spPr>
          <c:marker>
            <c:symbol val="circle"/>
            <c:size val="7"/>
            <c:spPr>
              <a:solidFill>
                <a:srgbClr val="1565C0"/>
              </a:solidFill>
              <a:ln>
                <a:solidFill>
                  <a:srgbClr val="1565C0"/>
                </a:solidFill>
                <a:prstDash val="solid"/>
              </a:ln>
            </c:spPr>
          </c:marker>
          <c:xVal>
            <c:numRef>
              <c:f>Оценочная_2017!$M$6:$M$9</c:f>
              <c:numCache>
                <c:formatCode>0</c:formatCode>
                <c:ptCount val="4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</c:numCache>
            </c:numRef>
          </c:xVal>
          <c:yVal>
            <c:numRef>
              <c:f>Оценочная_2017!$O$6:$O$9</c:f>
              <c:numCache>
                <c:formatCode>0.00</c:formatCode>
                <c:ptCount val="4"/>
                <c:pt idx="0">
                  <c:v>0.56828667892041418</c:v>
                </c:pt>
                <c:pt idx="1">
                  <c:v>1.7048600367612425</c:v>
                </c:pt>
                <c:pt idx="2">
                  <c:v>1.7048600367612425</c:v>
                </c:pt>
                <c:pt idx="3">
                  <c:v>1.7048600367612425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34-419C-973D-EC057D3DA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36"/>
          <c:min val="33"/>
        </c:scaling>
        <c:delete val="0"/>
        <c:axPos val="b"/>
        <c:majorGridlines/>
        <c:numFmt formatCode="0" sourceLinked="0"/>
        <c:majorTickMark val="none"/>
        <c:minorTickMark val="none"/>
        <c:tickLblPos val="nextTo"/>
        <c:crossAx val="20"/>
        <c:crosses val="autoZero"/>
        <c:crossBetween val="midCat"/>
        <c:majorUnit val="1"/>
      </c:valAx>
      <c:valAx>
        <c:axId val="20"/>
        <c:scaling>
          <c:orientation val="minMax"/>
          <c:min val="0"/>
        </c:scaling>
        <c:delete val="0"/>
        <c:axPos val="l"/>
        <c:majorGridlines/>
        <c:numFmt formatCode="0" sourceLinked="0"/>
        <c:majorTickMark val="none"/>
        <c:minorTickMark val="none"/>
        <c:tickLblPos val="nextTo"/>
        <c:crossAx val="10"/>
        <c:crosses val="autoZero"/>
        <c:crossBetween val="midCat"/>
        <c:majorUnit val="1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Базовое число ДТП, </a:t>
            </a:r>
            <a:r>
              <a:rPr lang="en-US"/>
              <a:t>t = 33…36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Фактически</c:v>
          </c:tx>
          <c:spPr>
            <a:ln w="28000">
              <a:solidFill>
                <a:srgbClr val="2E7D32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c:spPr>
          </c:marker>
          <c:xVal>
            <c:numRef>
              <c:f>Оценочная_2017!$M$6:$M$9</c:f>
              <c:numCache>
                <c:formatCode>0</c:formatCode>
                <c:ptCount val="4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</c:numCache>
            </c:numRef>
          </c:xVal>
          <c:yVal>
            <c:numRef>
              <c:f>Оценочная_2017!$P$6:$P$9</c:f>
              <c:numCache>
                <c:formatCode>0.00</c:formatCode>
                <c:ptCount val="4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9F-4D55-A5F3-9F7DE99B8E47}"/>
            </c:ext>
          </c:extLst>
        </c:ser>
        <c:ser>
          <c:idx val="1"/>
          <c:order val="1"/>
          <c:tx>
            <c:v>Модель</c:v>
          </c:tx>
          <c:spPr>
            <a:ln w="28000">
              <a:solidFill>
                <a:srgbClr val="1565C0"/>
              </a:solidFill>
              <a:prstDash val="dash"/>
            </a:ln>
          </c:spPr>
          <c:marker>
            <c:symbol val="circle"/>
            <c:size val="7"/>
            <c:spPr>
              <a:solidFill>
                <a:srgbClr val="1565C0"/>
              </a:solidFill>
              <a:ln>
                <a:solidFill>
                  <a:srgbClr val="1565C0"/>
                </a:solidFill>
                <a:prstDash val="solid"/>
              </a:ln>
            </c:spPr>
          </c:marker>
          <c:xVal>
            <c:numRef>
              <c:f>Оценочная_2017!$M$6:$M$9</c:f>
              <c:numCache>
                <c:formatCode>0</c:formatCode>
                <c:ptCount val="4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</c:numCache>
            </c:numRef>
          </c:xVal>
          <c:yVal>
            <c:numRef>
              <c:f>Оценочная_2017!$Q$6:$Q$9</c:f>
              <c:numCache>
                <c:formatCode>0.00</c:formatCode>
                <c:ptCount val="4"/>
                <c:pt idx="0">
                  <c:v>1.6848965979652459</c:v>
                </c:pt>
                <c:pt idx="1">
                  <c:v>2.8154336310035113</c:v>
                </c:pt>
                <c:pt idx="2">
                  <c:v>3.1314924681208538</c:v>
                </c:pt>
                <c:pt idx="3">
                  <c:v>2.8665989258130509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9F-4D55-A5F3-9F7DE99B8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36"/>
          <c:min val="33"/>
        </c:scaling>
        <c:delete val="0"/>
        <c:axPos val="b"/>
        <c:majorGridlines/>
        <c:numFmt formatCode="0" sourceLinked="0"/>
        <c:majorTickMark val="none"/>
        <c:minorTickMark val="none"/>
        <c:tickLblPos val="nextTo"/>
        <c:crossAx val="20"/>
        <c:crosses val="autoZero"/>
        <c:crossBetween val="midCat"/>
        <c:majorUnit val="1"/>
      </c:valAx>
      <c:valAx>
        <c:axId val="20"/>
        <c:scaling>
          <c:orientation val="minMax"/>
          <c:min val="0"/>
        </c:scaling>
        <c:delete val="0"/>
        <c:axPos val="l"/>
        <c:majorGridlines/>
        <c:numFmt formatCode="0" sourceLinked="0"/>
        <c:majorTickMark val="none"/>
        <c:minorTickMark val="none"/>
        <c:tickLblPos val="nextTo"/>
        <c:crossAx val="10"/>
        <c:crosses val="autoZero"/>
        <c:crossBetween val="midCat"/>
        <c:majorUnit val="1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Освещённость (свет), </a:t>
            </a:r>
            <a:r>
              <a:rPr lang="en-US"/>
              <a:t>t = 33…36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Фактически</c:v>
          </c:tx>
          <c:spPr>
            <a:ln w="28000">
              <a:solidFill>
                <a:srgbClr val="2E7D32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c:spPr>
          </c:marker>
          <c:xVal>
            <c:numRef>
              <c:f>Оценочная_2017!$M$6:$M$9</c:f>
              <c:numCache>
                <c:formatCode>0</c:formatCode>
                <c:ptCount val="4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</c:numCache>
            </c:numRef>
          </c:xVal>
          <c:yVal>
            <c:numRef>
              <c:f>Оценочная_2017!$R$6:$R$9</c:f>
              <c:numCache>
                <c:formatCode>0.00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1D-491D-BF4E-DAE1F7F56643}"/>
            </c:ext>
          </c:extLst>
        </c:ser>
        <c:ser>
          <c:idx val="1"/>
          <c:order val="1"/>
          <c:tx>
            <c:v>Модель</c:v>
          </c:tx>
          <c:spPr>
            <a:ln w="28000">
              <a:solidFill>
                <a:srgbClr val="1565C0"/>
              </a:solidFill>
              <a:prstDash val="dash"/>
            </a:ln>
          </c:spPr>
          <c:marker>
            <c:symbol val="circle"/>
            <c:size val="7"/>
            <c:spPr>
              <a:solidFill>
                <a:srgbClr val="1565C0"/>
              </a:solidFill>
              <a:ln>
                <a:solidFill>
                  <a:srgbClr val="1565C0"/>
                </a:solidFill>
                <a:prstDash val="solid"/>
              </a:ln>
            </c:spPr>
          </c:marker>
          <c:xVal>
            <c:numRef>
              <c:f>Оценочная_2017!$M$6:$M$9</c:f>
              <c:numCache>
                <c:formatCode>0</c:formatCode>
                <c:ptCount val="4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</c:numCache>
            </c:numRef>
          </c:xVal>
          <c:yVal>
            <c:numRef>
              <c:f>Оценочная_2017!$S$6:$S$9</c:f>
              <c:numCache>
                <c:formatCode>0.00</c:formatCode>
                <c:ptCount val="4"/>
                <c:pt idx="0">
                  <c:v>0.35457985704415779</c:v>
                </c:pt>
                <c:pt idx="1">
                  <c:v>0.70915971408831557</c:v>
                </c:pt>
                <c:pt idx="2">
                  <c:v>1.772899285220789</c:v>
                </c:pt>
                <c:pt idx="3">
                  <c:v>0.35457985704415779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1D-491D-BF4E-DAE1F7F56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36"/>
          <c:min val="33"/>
        </c:scaling>
        <c:delete val="0"/>
        <c:axPos val="b"/>
        <c:majorGridlines/>
        <c:numFmt formatCode="0" sourceLinked="0"/>
        <c:majorTickMark val="none"/>
        <c:minorTickMark val="none"/>
        <c:tickLblPos val="nextTo"/>
        <c:crossAx val="20"/>
        <c:crosses val="autoZero"/>
        <c:crossBetween val="midCat"/>
        <c:majorUnit val="1"/>
      </c:valAx>
      <c:valAx>
        <c:axId val="20"/>
        <c:scaling>
          <c:orientation val="minMax"/>
          <c:min val="0"/>
        </c:scaling>
        <c:delete val="0"/>
        <c:axPos val="l"/>
        <c:majorGridlines/>
        <c:numFmt formatCode="0" sourceLinked="0"/>
        <c:majorTickMark val="none"/>
        <c:minorTickMark val="none"/>
        <c:tickLblPos val="nextTo"/>
        <c:crossAx val="10"/>
        <c:crosses val="autoZero"/>
        <c:crossBetween val="midCat"/>
        <c:majorUnit val="1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Всего ДТП: факт и модель, </a:t>
            </a:r>
            <a:r>
              <a:rPr lang="en-US"/>
              <a:t>t = 33…36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Фактически</c:v>
          </c:tx>
          <c:spPr>
            <a:ln w="28000">
              <a:solidFill>
                <a:srgbClr val="2E7D32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c:spPr>
          </c:marker>
          <c:xVal>
            <c:numRef>
              <c:f>Оценочная_2017!$M$6:$M$9</c:f>
              <c:numCache>
                <c:formatCode>0</c:formatCode>
                <c:ptCount val="4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</c:numCache>
            </c:numRef>
          </c:xVal>
          <c:yVal>
            <c:numRef>
              <c:f>Оценочная_2017!$T$6:$T$9</c:f>
              <c:numCache>
                <c:formatCode>0.00</c:formatCode>
                <c:ptCount val="4"/>
                <c:pt idx="0">
                  <c:v>4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1C-4C4F-BC60-F0CC9F5A71BD}"/>
            </c:ext>
          </c:extLst>
        </c:ser>
        <c:ser>
          <c:idx val="1"/>
          <c:order val="1"/>
          <c:tx>
            <c:v>Модель</c:v>
          </c:tx>
          <c:spPr>
            <a:ln w="28000">
              <a:solidFill>
                <a:srgbClr val="1565C0"/>
              </a:solidFill>
              <a:prstDash val="dash"/>
            </a:ln>
          </c:spPr>
          <c:marker>
            <c:symbol val="circle"/>
            <c:size val="7"/>
            <c:spPr>
              <a:solidFill>
                <a:srgbClr val="1565C0"/>
              </a:solidFill>
              <a:ln>
                <a:solidFill>
                  <a:srgbClr val="1565C0"/>
                </a:solidFill>
                <a:prstDash val="solid"/>
              </a:ln>
            </c:spPr>
          </c:marker>
          <c:xVal>
            <c:numRef>
              <c:f>Оценочная_2017!$M$6:$M$9</c:f>
              <c:numCache>
                <c:formatCode>0</c:formatCode>
                <c:ptCount val="4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</c:numCache>
            </c:numRef>
          </c:xVal>
          <c:yVal>
            <c:numRef>
              <c:f>Оценочная_2017!$U$6:$U$9</c:f>
              <c:numCache>
                <c:formatCode>0.00</c:formatCode>
                <c:ptCount val="4"/>
                <c:pt idx="0">
                  <c:v>2.6077631339298177</c:v>
                </c:pt>
                <c:pt idx="1">
                  <c:v>5.2294533818530695</c:v>
                </c:pt>
                <c:pt idx="2">
                  <c:v>6.6092517901028858</c:v>
                </c:pt>
                <c:pt idx="3">
                  <c:v>4.9260388196184515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1C-4C4F-BC60-F0CC9F5A7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36"/>
          <c:min val="33"/>
        </c:scaling>
        <c:delete val="0"/>
        <c:axPos val="b"/>
        <c:majorGridlines/>
        <c:numFmt formatCode="0" sourceLinked="0"/>
        <c:majorTickMark val="none"/>
        <c:minorTickMark val="none"/>
        <c:tickLblPos val="nextTo"/>
        <c:crossAx val="20"/>
        <c:crosses val="autoZero"/>
        <c:crossBetween val="midCat"/>
        <c:majorUnit val="1"/>
      </c:valAx>
      <c:valAx>
        <c:axId val="20"/>
        <c:scaling>
          <c:orientation val="minMax"/>
          <c:min val="0"/>
        </c:scaling>
        <c:delete val="0"/>
        <c:axPos val="l"/>
        <c:majorGridlines/>
        <c:numFmt formatCode="0" sourceLinked="0"/>
        <c:majorTickMark val="none"/>
        <c:minorTickMark val="none"/>
        <c:tickLblPos val="nextTo"/>
        <c:crossAx val="10"/>
        <c:crosses val="autoZero"/>
        <c:crossBetween val="midCat"/>
        <c:majorUnit val="1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11</xdr:row>
      <xdr:rowOff>0</xdr:rowOff>
    </xdr:from>
    <xdr:ext cx="486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11</xdr:row>
      <xdr:rowOff>0</xdr:rowOff>
    </xdr:from>
    <xdr:ext cx="4860000" cy="288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0</xdr:colOff>
      <xdr:row>27</xdr:row>
      <xdr:rowOff>0</xdr:rowOff>
    </xdr:from>
    <xdr:ext cx="4860000" cy="288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20</xdr:col>
      <xdr:colOff>0</xdr:colOff>
      <xdr:row>27</xdr:row>
      <xdr:rowOff>0</xdr:rowOff>
    </xdr:from>
    <xdr:ext cx="4860000" cy="2880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4"/>
  <sheetViews>
    <sheetView workbookViewId="0">
      <selection activeCell="B46" sqref="B46"/>
    </sheetView>
  </sheetViews>
  <sheetFormatPr defaultRowHeight="15" x14ac:dyDescent="0.25"/>
  <cols>
    <col min="1" max="1" width="34" style="23" customWidth="1"/>
    <col min="2" max="2" width="100" style="23" customWidth="1"/>
    <col min="3" max="3" width="40" style="23" customWidth="1"/>
    <col min="4" max="16384" width="9.140625" style="23"/>
  </cols>
  <sheetData>
    <row r="1" spans="1:3" ht="18.75" x14ac:dyDescent="0.3">
      <c r="A1" s="21" t="s">
        <v>0</v>
      </c>
      <c r="B1" s="22"/>
    </row>
    <row r="2" spans="1:3" x14ac:dyDescent="0.25">
      <c r="A2" s="20" t="s">
        <v>1</v>
      </c>
      <c r="B2" s="22"/>
    </row>
    <row r="3" spans="1:3" x14ac:dyDescent="0.25">
      <c r="B3" s="22"/>
    </row>
    <row r="4" spans="1:3" x14ac:dyDescent="0.25">
      <c r="A4" s="19" t="s">
        <v>2</v>
      </c>
      <c r="B4" s="22" t="s">
        <v>3</v>
      </c>
    </row>
    <row r="5" spans="1:3" x14ac:dyDescent="0.25">
      <c r="A5" s="19" t="s">
        <v>4</v>
      </c>
      <c r="B5" s="22" t="s">
        <v>5</v>
      </c>
    </row>
    <row r="6" spans="1:3" x14ac:dyDescent="0.25">
      <c r="A6" s="19" t="s">
        <v>6</v>
      </c>
      <c r="B6" s="22" t="s">
        <v>7</v>
      </c>
    </row>
    <row r="7" spans="1:3" ht="30" x14ac:dyDescent="0.25">
      <c r="A7" s="19" t="s">
        <v>8</v>
      </c>
      <c r="B7" s="22" t="s">
        <v>9</v>
      </c>
    </row>
    <row r="8" spans="1:3" x14ac:dyDescent="0.25">
      <c r="A8" s="19" t="s">
        <v>10</v>
      </c>
      <c r="B8" s="22" t="s">
        <v>11</v>
      </c>
    </row>
    <row r="9" spans="1:3" x14ac:dyDescent="0.25">
      <c r="A9" s="19" t="s">
        <v>12</v>
      </c>
      <c r="B9" s="22" t="s">
        <v>13</v>
      </c>
    </row>
    <row r="10" spans="1:3" x14ac:dyDescent="0.25">
      <c r="A10" s="19" t="s">
        <v>14</v>
      </c>
      <c r="B10" s="22" t="s">
        <v>15</v>
      </c>
    </row>
    <row r="11" spans="1:3" x14ac:dyDescent="0.25">
      <c r="A11" s="19" t="s">
        <v>16</v>
      </c>
      <c r="B11" s="22" t="s">
        <v>17</v>
      </c>
    </row>
    <row r="12" spans="1:3" ht="30" x14ac:dyDescent="0.25">
      <c r="A12" s="19" t="s">
        <v>18</v>
      </c>
      <c r="B12" s="22" t="s">
        <v>19</v>
      </c>
    </row>
    <row r="13" spans="1:3" x14ac:dyDescent="0.25">
      <c r="B13" s="22"/>
    </row>
    <row r="14" spans="1:3" ht="15.75" x14ac:dyDescent="0.25">
      <c r="A14" s="24" t="s">
        <v>20</v>
      </c>
      <c r="B14" s="22"/>
    </row>
    <row r="15" spans="1:3" x14ac:dyDescent="0.25">
      <c r="A15" s="25" t="s">
        <v>21</v>
      </c>
      <c r="B15" s="26" t="s">
        <v>22</v>
      </c>
      <c r="C15" s="25" t="s">
        <v>23</v>
      </c>
    </row>
    <row r="16" spans="1:3" x14ac:dyDescent="0.25">
      <c r="A16" s="27" t="s">
        <v>24</v>
      </c>
      <c r="B16" s="28" t="s">
        <v>25</v>
      </c>
      <c r="C16" s="29">
        <v>9116625</v>
      </c>
    </row>
    <row r="17" spans="1:3" x14ac:dyDescent="0.25">
      <c r="A17" s="27" t="s">
        <v>26</v>
      </c>
      <c r="B17" s="28" t="s">
        <v>27</v>
      </c>
      <c r="C17" s="29">
        <v>1306654</v>
      </c>
    </row>
    <row r="18" spans="1:3" x14ac:dyDescent="0.25">
      <c r="A18" s="27" t="s">
        <v>28</v>
      </c>
      <c r="B18" s="28" t="s">
        <v>29</v>
      </c>
      <c r="C18" s="29">
        <v>15475</v>
      </c>
    </row>
    <row r="19" spans="1:3" x14ac:dyDescent="0.25">
      <c r="A19" s="27" t="s">
        <v>30</v>
      </c>
      <c r="B19" s="28" t="s">
        <v>31</v>
      </c>
      <c r="C19" s="29">
        <v>13075</v>
      </c>
    </row>
    <row r="20" spans="1:3" ht="30" x14ac:dyDescent="0.25">
      <c r="A20" s="27" t="s">
        <v>32</v>
      </c>
      <c r="B20" s="28" t="s">
        <v>33</v>
      </c>
      <c r="C20" s="29">
        <v>186</v>
      </c>
    </row>
    <row r="21" spans="1:3" x14ac:dyDescent="0.25">
      <c r="A21" s="27" t="s">
        <v>34</v>
      </c>
      <c r="B21" s="28" t="s">
        <v>35</v>
      </c>
      <c r="C21" s="29">
        <v>172</v>
      </c>
    </row>
    <row r="22" spans="1:3" x14ac:dyDescent="0.25">
      <c r="A22" s="27" t="s">
        <v>36</v>
      </c>
      <c r="B22" s="28" t="s">
        <v>37</v>
      </c>
      <c r="C22" s="29">
        <v>170</v>
      </c>
    </row>
    <row r="23" spans="1:3" x14ac:dyDescent="0.25">
      <c r="B23" s="22"/>
    </row>
    <row r="24" spans="1:3" ht="15.75" x14ac:dyDescent="0.25">
      <c r="A24" s="24" t="s">
        <v>38</v>
      </c>
      <c r="B24" s="22"/>
    </row>
    <row r="25" spans="1:3" x14ac:dyDescent="0.25">
      <c r="A25" s="23" t="s">
        <v>39</v>
      </c>
      <c r="B25" s="22"/>
      <c r="C25" s="23">
        <f>SUM(ДТП_Корнуолл!S5:S176)</f>
        <v>170</v>
      </c>
    </row>
    <row r="26" spans="1:3" x14ac:dyDescent="0.25">
      <c r="A26" s="23" t="s">
        <v>40</v>
      </c>
      <c r="B26" s="22"/>
      <c r="C26" s="23">
        <f>SUMIFS(ДТП_Корнуолл!O5:O176,ДТП_Корнуолл!S5:S176,1)</f>
        <v>424</v>
      </c>
    </row>
    <row r="27" spans="1:3" x14ac:dyDescent="0.25">
      <c r="A27" s="20" t="s">
        <v>41</v>
      </c>
      <c r="B27" s="22"/>
    </row>
    <row r="28" spans="1:3" x14ac:dyDescent="0.25">
      <c r="B28" s="22"/>
    </row>
    <row r="29" spans="1:3" ht="15.75" x14ac:dyDescent="0.25">
      <c r="A29" s="24" t="s">
        <v>42</v>
      </c>
      <c r="B29" s="22"/>
    </row>
    <row r="30" spans="1:3" x14ac:dyDescent="0.25">
      <c r="A30" s="23" t="s">
        <v>43</v>
      </c>
      <c r="B30" s="22"/>
    </row>
    <row r="31" spans="1:3" x14ac:dyDescent="0.25">
      <c r="A31" s="23" t="s">
        <v>44</v>
      </c>
      <c r="B31" s="22"/>
    </row>
    <row r="32" spans="1:3" x14ac:dyDescent="0.25">
      <c r="A32" s="23" t="s">
        <v>45</v>
      </c>
      <c r="B32" s="22"/>
    </row>
    <row r="33" spans="1:3" x14ac:dyDescent="0.25">
      <c r="A33" s="23" t="s">
        <v>46</v>
      </c>
      <c r="B33" s="22"/>
    </row>
    <row r="34" spans="1:3" x14ac:dyDescent="0.25">
      <c r="B34" s="22"/>
    </row>
    <row r="35" spans="1:3" ht="15.75" x14ac:dyDescent="0.25">
      <c r="A35" s="24" t="s">
        <v>47</v>
      </c>
      <c r="B35" s="22"/>
    </row>
    <row r="36" spans="1:3" x14ac:dyDescent="0.25">
      <c r="A36" s="25" t="s">
        <v>48</v>
      </c>
      <c r="B36" s="26" t="s">
        <v>49</v>
      </c>
      <c r="C36" s="25" t="s">
        <v>50</v>
      </c>
    </row>
    <row r="37" spans="1:3" x14ac:dyDescent="0.25">
      <c r="A37" s="27" t="s">
        <v>51</v>
      </c>
      <c r="B37" s="28" t="s">
        <v>52</v>
      </c>
      <c r="C37" s="27" t="s">
        <v>53</v>
      </c>
    </row>
    <row r="38" spans="1:3" x14ac:dyDescent="0.25">
      <c r="A38" s="27" t="s">
        <v>54</v>
      </c>
      <c r="B38" s="28" t="s">
        <v>55</v>
      </c>
      <c r="C38" s="27" t="s">
        <v>56</v>
      </c>
    </row>
    <row r="39" spans="1:3" x14ac:dyDescent="0.25">
      <c r="A39" s="27" t="s">
        <v>57</v>
      </c>
      <c r="B39" s="28" t="s">
        <v>58</v>
      </c>
      <c r="C39" s="27" t="s">
        <v>59</v>
      </c>
    </row>
    <row r="40" spans="1:3" x14ac:dyDescent="0.25">
      <c r="A40" s="27" t="s">
        <v>60</v>
      </c>
      <c r="B40" s="28" t="s">
        <v>61</v>
      </c>
      <c r="C40" s="27" t="s">
        <v>62</v>
      </c>
    </row>
    <row r="41" spans="1:3" x14ac:dyDescent="0.25">
      <c r="A41" s="27" t="s">
        <v>63</v>
      </c>
      <c r="B41" s="28" t="s">
        <v>61</v>
      </c>
      <c r="C41" s="27" t="s">
        <v>64</v>
      </c>
    </row>
    <row r="42" spans="1:3" x14ac:dyDescent="0.25">
      <c r="B42" s="22"/>
    </row>
    <row r="43" spans="1:3" x14ac:dyDescent="0.25">
      <c r="A43" s="20" t="s">
        <v>65</v>
      </c>
      <c r="B43" s="22"/>
    </row>
    <row r="44" spans="1:3" x14ac:dyDescent="0.25">
      <c r="A44" s="20" t="s">
        <v>66</v>
      </c>
      <c r="B44" s="22"/>
    </row>
  </sheetData>
  <pageMargins left="0.75" right="0.75" top="1" bottom="1" header="0.5" footer="0.5"/>
  <pageSetup paperSize="9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77"/>
  <sheetViews>
    <sheetView workbookViewId="0">
      <pane xSplit="2" ySplit="4" topLeftCell="C5" activePane="bottomRight" state="frozen"/>
      <selection pane="topRight"/>
      <selection pane="bottomLeft"/>
      <selection pane="bottomRight" activeCell="A2" sqref="A2"/>
    </sheetView>
  </sheetViews>
  <sheetFormatPr defaultRowHeight="15" x14ac:dyDescent="0.25"/>
  <cols>
    <col min="1" max="1" width="5" customWidth="1"/>
    <col min="2" max="2" width="16" customWidth="1"/>
    <col min="3" max="3" width="11" customWidth="1"/>
    <col min="4" max="4" width="7" customWidth="1"/>
    <col min="5" max="6" width="6" customWidth="1"/>
    <col min="7" max="7" width="7" customWidth="1"/>
    <col min="8" max="8" width="10" customWidth="1"/>
    <col min="9" max="9" width="8" customWidth="1"/>
    <col min="10" max="10" width="7" customWidth="1"/>
    <col min="11" max="11" width="9" customWidth="1"/>
    <col min="12" max="12" width="20" customWidth="1"/>
    <col min="13" max="13" width="8" customWidth="1"/>
    <col min="14" max="14" width="10" customWidth="1"/>
    <col min="15" max="15" width="9" customWidth="1"/>
    <col min="16" max="18" width="8" customWidth="1"/>
    <col min="19" max="19" width="9" customWidth="1"/>
  </cols>
  <sheetData>
    <row r="1" spans="1:19" ht="18.75" x14ac:dyDescent="0.3">
      <c r="A1" s="21" t="s">
        <v>67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x14ac:dyDescent="0.25">
      <c r="A2" s="20" t="s">
        <v>594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19" ht="45" customHeight="1" x14ac:dyDescent="0.25">
      <c r="A4" s="25" t="s">
        <v>68</v>
      </c>
      <c r="B4" s="25" t="s">
        <v>69</v>
      </c>
      <c r="C4" s="25" t="s">
        <v>70</v>
      </c>
      <c r="D4" s="25" t="s">
        <v>71</v>
      </c>
      <c r="E4" s="25" t="s">
        <v>72</v>
      </c>
      <c r="F4" s="25" t="s">
        <v>73</v>
      </c>
      <c r="G4" s="25" t="s">
        <v>74</v>
      </c>
      <c r="H4" s="25" t="s">
        <v>75</v>
      </c>
      <c r="I4" s="25" t="s">
        <v>76</v>
      </c>
      <c r="J4" s="25" t="s">
        <v>77</v>
      </c>
      <c r="K4" s="25" t="s">
        <v>78</v>
      </c>
      <c r="L4" s="25" t="s">
        <v>79</v>
      </c>
      <c r="M4" s="25" t="s">
        <v>80</v>
      </c>
      <c r="N4" s="25" t="s">
        <v>81</v>
      </c>
      <c r="O4" s="25" t="s">
        <v>82</v>
      </c>
      <c r="P4" s="25" t="s">
        <v>83</v>
      </c>
      <c r="Q4" s="25" t="s">
        <v>84</v>
      </c>
      <c r="R4" s="25" t="s">
        <v>85</v>
      </c>
      <c r="S4" s="25" t="s">
        <v>86</v>
      </c>
    </row>
    <row r="5" spans="1:19" x14ac:dyDescent="0.25">
      <c r="A5" s="31">
        <v>1</v>
      </c>
      <c r="B5" s="31" t="s">
        <v>87</v>
      </c>
      <c r="C5" s="32">
        <v>39830</v>
      </c>
      <c r="D5" s="31" t="s">
        <v>88</v>
      </c>
      <c r="E5" s="31">
        <f t="shared" ref="E5:E36" si="0">YEAR(C5)</f>
        <v>2009</v>
      </c>
      <c r="F5" s="31">
        <f t="shared" ref="F5:F36" si="1">ROUNDUP(MONTH(C5)/3,0)</f>
        <v>1</v>
      </c>
      <c r="G5" s="31">
        <f t="shared" ref="G5:G36" si="2">(E5-2009)*4+F5</f>
        <v>1</v>
      </c>
      <c r="H5" s="31" t="s">
        <v>89</v>
      </c>
      <c r="I5" s="31">
        <v>7</v>
      </c>
      <c r="J5" s="31" t="s">
        <v>90</v>
      </c>
      <c r="K5" s="31">
        <v>6</v>
      </c>
      <c r="L5" s="31" t="s">
        <v>91</v>
      </c>
      <c r="M5" s="31">
        <v>2</v>
      </c>
      <c r="N5" s="31" t="s">
        <v>92</v>
      </c>
      <c r="O5" s="31">
        <v>1</v>
      </c>
      <c r="P5" s="31">
        <f t="shared" ref="P5:P36" si="3">IF(OR(I5=1,I5=6,I5=7),1,0)</f>
        <v>1</v>
      </c>
      <c r="Q5" s="31">
        <f t="shared" ref="Q5:Q36" si="4">IF(K5=1,1,0)</f>
        <v>0</v>
      </c>
      <c r="R5" s="31">
        <f t="shared" ref="R5:R36" si="5">IF(M5=1,1,0)</f>
        <v>0</v>
      </c>
      <c r="S5" s="31">
        <v>0</v>
      </c>
    </row>
    <row r="6" spans="1:19" x14ac:dyDescent="0.25">
      <c r="A6" s="31">
        <v>2</v>
      </c>
      <c r="B6" s="31" t="s">
        <v>93</v>
      </c>
      <c r="C6" s="32">
        <v>39839</v>
      </c>
      <c r="D6" s="31" t="s">
        <v>94</v>
      </c>
      <c r="E6" s="31">
        <f t="shared" si="0"/>
        <v>2009</v>
      </c>
      <c r="F6" s="31">
        <f t="shared" si="1"/>
        <v>1</v>
      </c>
      <c r="G6" s="31">
        <f t="shared" si="2"/>
        <v>1</v>
      </c>
      <c r="H6" s="31" t="s">
        <v>95</v>
      </c>
      <c r="I6" s="31">
        <v>2</v>
      </c>
      <c r="J6" s="31" t="s">
        <v>96</v>
      </c>
      <c r="K6" s="31">
        <v>6</v>
      </c>
      <c r="L6" s="31" t="s">
        <v>91</v>
      </c>
      <c r="M6" s="31">
        <v>2</v>
      </c>
      <c r="N6" s="31" t="s">
        <v>92</v>
      </c>
      <c r="O6" s="31">
        <v>1</v>
      </c>
      <c r="P6" s="31">
        <f t="shared" si="3"/>
        <v>0</v>
      </c>
      <c r="Q6" s="31">
        <f t="shared" si="4"/>
        <v>0</v>
      </c>
      <c r="R6" s="31">
        <f t="shared" si="5"/>
        <v>0</v>
      </c>
      <c r="S6" s="31">
        <v>0</v>
      </c>
    </row>
    <row r="7" spans="1:19" x14ac:dyDescent="0.25">
      <c r="A7" s="5">
        <v>3</v>
      </c>
      <c r="B7" s="5" t="s">
        <v>97</v>
      </c>
      <c r="C7" s="7">
        <v>39865</v>
      </c>
      <c r="D7" s="5" t="s">
        <v>98</v>
      </c>
      <c r="E7" s="5">
        <f t="shared" si="0"/>
        <v>2009</v>
      </c>
      <c r="F7" s="5">
        <f t="shared" si="1"/>
        <v>1</v>
      </c>
      <c r="G7" s="5">
        <f t="shared" si="2"/>
        <v>1</v>
      </c>
      <c r="H7" s="5" t="s">
        <v>95</v>
      </c>
      <c r="I7" s="5">
        <v>7</v>
      </c>
      <c r="J7" s="5" t="s">
        <v>90</v>
      </c>
      <c r="K7" s="5">
        <v>1</v>
      </c>
      <c r="L7" s="5" t="s">
        <v>99</v>
      </c>
      <c r="M7" s="5">
        <v>1</v>
      </c>
      <c r="N7" s="5" t="s">
        <v>100</v>
      </c>
      <c r="O7" s="5">
        <v>1</v>
      </c>
      <c r="P7" s="30">
        <f t="shared" si="3"/>
        <v>1</v>
      </c>
      <c r="Q7" s="30">
        <f t="shared" si="4"/>
        <v>1</v>
      </c>
      <c r="R7" s="30">
        <f t="shared" si="5"/>
        <v>1</v>
      </c>
      <c r="S7" s="5">
        <v>1</v>
      </c>
    </row>
    <row r="8" spans="1:19" x14ac:dyDescent="0.25">
      <c r="A8" s="5">
        <v>4</v>
      </c>
      <c r="B8" s="5" t="s">
        <v>101</v>
      </c>
      <c r="C8" s="7">
        <v>39904</v>
      </c>
      <c r="D8" s="5" t="s">
        <v>102</v>
      </c>
      <c r="E8" s="5">
        <f t="shared" si="0"/>
        <v>2009</v>
      </c>
      <c r="F8" s="5">
        <f t="shared" si="1"/>
        <v>2</v>
      </c>
      <c r="G8" s="5">
        <f t="shared" si="2"/>
        <v>2</v>
      </c>
      <c r="H8" s="5" t="s">
        <v>103</v>
      </c>
      <c r="I8" s="5">
        <v>4</v>
      </c>
      <c r="J8" s="5" t="s">
        <v>104</v>
      </c>
      <c r="K8" s="5">
        <v>1</v>
      </c>
      <c r="L8" s="5" t="s">
        <v>99</v>
      </c>
      <c r="M8" s="5">
        <v>1</v>
      </c>
      <c r="N8" s="5" t="s">
        <v>100</v>
      </c>
      <c r="O8" s="5">
        <v>1</v>
      </c>
      <c r="P8" s="30">
        <f t="shared" si="3"/>
        <v>0</v>
      </c>
      <c r="Q8" s="30">
        <f t="shared" si="4"/>
        <v>1</v>
      </c>
      <c r="R8" s="30">
        <f t="shared" si="5"/>
        <v>1</v>
      </c>
      <c r="S8" s="5">
        <v>1</v>
      </c>
    </row>
    <row r="9" spans="1:19" x14ac:dyDescent="0.25">
      <c r="A9" s="5">
        <v>5</v>
      </c>
      <c r="B9" s="5" t="s">
        <v>105</v>
      </c>
      <c r="C9" s="7">
        <v>39914</v>
      </c>
      <c r="D9" s="5" t="s">
        <v>106</v>
      </c>
      <c r="E9" s="5">
        <f t="shared" si="0"/>
        <v>2009</v>
      </c>
      <c r="F9" s="5">
        <f t="shared" si="1"/>
        <v>2</v>
      </c>
      <c r="G9" s="5">
        <f t="shared" si="2"/>
        <v>2</v>
      </c>
      <c r="H9" s="5" t="s">
        <v>89</v>
      </c>
      <c r="I9" s="5">
        <v>7</v>
      </c>
      <c r="J9" s="5" t="s">
        <v>90</v>
      </c>
      <c r="K9" s="5">
        <v>6</v>
      </c>
      <c r="L9" s="5" t="s">
        <v>91</v>
      </c>
      <c r="M9" s="5">
        <v>1</v>
      </c>
      <c r="N9" s="5" t="s">
        <v>100</v>
      </c>
      <c r="O9" s="5">
        <v>1</v>
      </c>
      <c r="P9" s="30">
        <f t="shared" si="3"/>
        <v>1</v>
      </c>
      <c r="Q9" s="30">
        <f t="shared" si="4"/>
        <v>0</v>
      </c>
      <c r="R9" s="30">
        <f t="shared" si="5"/>
        <v>1</v>
      </c>
      <c r="S9" s="5">
        <v>1</v>
      </c>
    </row>
    <row r="10" spans="1:19" x14ac:dyDescent="0.25">
      <c r="A10" s="5">
        <v>6</v>
      </c>
      <c r="B10" s="5" t="s">
        <v>107</v>
      </c>
      <c r="C10" s="7">
        <v>39918</v>
      </c>
      <c r="D10" s="5" t="s">
        <v>108</v>
      </c>
      <c r="E10" s="5">
        <f t="shared" si="0"/>
        <v>2009</v>
      </c>
      <c r="F10" s="5">
        <f t="shared" si="1"/>
        <v>2</v>
      </c>
      <c r="G10" s="5">
        <f t="shared" si="2"/>
        <v>2</v>
      </c>
      <c r="H10" s="5" t="s">
        <v>89</v>
      </c>
      <c r="I10" s="5">
        <v>4</v>
      </c>
      <c r="J10" s="5" t="s">
        <v>104</v>
      </c>
      <c r="K10" s="5">
        <v>1</v>
      </c>
      <c r="L10" s="5" t="s">
        <v>99</v>
      </c>
      <c r="M10" s="5">
        <v>2</v>
      </c>
      <c r="N10" s="5" t="s">
        <v>92</v>
      </c>
      <c r="O10" s="5">
        <v>2</v>
      </c>
      <c r="P10" s="30">
        <f t="shared" si="3"/>
        <v>0</v>
      </c>
      <c r="Q10" s="30">
        <f t="shared" si="4"/>
        <v>1</v>
      </c>
      <c r="R10" s="30">
        <f t="shared" si="5"/>
        <v>0</v>
      </c>
      <c r="S10" s="5">
        <v>1</v>
      </c>
    </row>
    <row r="11" spans="1:19" x14ac:dyDescent="0.25">
      <c r="A11" s="5">
        <v>7</v>
      </c>
      <c r="B11" s="5" t="s">
        <v>109</v>
      </c>
      <c r="C11" s="7">
        <v>39949</v>
      </c>
      <c r="D11" s="5" t="s">
        <v>110</v>
      </c>
      <c r="E11" s="5">
        <f t="shared" si="0"/>
        <v>2009</v>
      </c>
      <c r="F11" s="5">
        <f t="shared" si="1"/>
        <v>2</v>
      </c>
      <c r="G11" s="5">
        <f t="shared" si="2"/>
        <v>2</v>
      </c>
      <c r="H11" s="5" t="s">
        <v>89</v>
      </c>
      <c r="I11" s="5">
        <v>7</v>
      </c>
      <c r="J11" s="5" t="s">
        <v>90</v>
      </c>
      <c r="K11" s="5">
        <v>1</v>
      </c>
      <c r="L11" s="5" t="s">
        <v>99</v>
      </c>
      <c r="M11" s="5">
        <v>1</v>
      </c>
      <c r="N11" s="5" t="s">
        <v>100</v>
      </c>
      <c r="O11" s="5">
        <v>1</v>
      </c>
      <c r="P11" s="30">
        <f t="shared" si="3"/>
        <v>1</v>
      </c>
      <c r="Q11" s="30">
        <f t="shared" si="4"/>
        <v>1</v>
      </c>
      <c r="R11" s="30">
        <f t="shared" si="5"/>
        <v>1</v>
      </c>
      <c r="S11" s="5">
        <v>1</v>
      </c>
    </row>
    <row r="12" spans="1:19" x14ac:dyDescent="0.25">
      <c r="A12" s="5">
        <v>8</v>
      </c>
      <c r="B12" s="5" t="s">
        <v>111</v>
      </c>
      <c r="C12" s="7">
        <v>39977</v>
      </c>
      <c r="D12" s="5" t="s">
        <v>112</v>
      </c>
      <c r="E12" s="5">
        <f t="shared" si="0"/>
        <v>2009</v>
      </c>
      <c r="F12" s="5">
        <f t="shared" si="1"/>
        <v>2</v>
      </c>
      <c r="G12" s="5">
        <f t="shared" si="2"/>
        <v>2</v>
      </c>
      <c r="H12" s="5" t="s">
        <v>89</v>
      </c>
      <c r="I12" s="5">
        <v>7</v>
      </c>
      <c r="J12" s="5" t="s">
        <v>90</v>
      </c>
      <c r="K12" s="5">
        <v>1</v>
      </c>
      <c r="L12" s="5" t="s">
        <v>99</v>
      </c>
      <c r="M12" s="5">
        <v>1</v>
      </c>
      <c r="N12" s="5" t="s">
        <v>100</v>
      </c>
      <c r="O12" s="5">
        <v>2</v>
      </c>
      <c r="P12" s="30">
        <f t="shared" si="3"/>
        <v>1</v>
      </c>
      <c r="Q12" s="30">
        <f t="shared" si="4"/>
        <v>1</v>
      </c>
      <c r="R12" s="30">
        <f t="shared" si="5"/>
        <v>1</v>
      </c>
      <c r="S12" s="5">
        <v>1</v>
      </c>
    </row>
    <row r="13" spans="1:19" x14ac:dyDescent="0.25">
      <c r="A13" s="5">
        <v>9</v>
      </c>
      <c r="B13" s="5" t="s">
        <v>113</v>
      </c>
      <c r="C13" s="7">
        <v>39981</v>
      </c>
      <c r="D13" s="5" t="s">
        <v>114</v>
      </c>
      <c r="E13" s="5">
        <f t="shared" si="0"/>
        <v>2009</v>
      </c>
      <c r="F13" s="5">
        <f t="shared" si="1"/>
        <v>2</v>
      </c>
      <c r="G13" s="5">
        <f t="shared" si="2"/>
        <v>2</v>
      </c>
      <c r="H13" s="5" t="s">
        <v>95</v>
      </c>
      <c r="I13" s="5">
        <v>4</v>
      </c>
      <c r="J13" s="5" t="s">
        <v>104</v>
      </c>
      <c r="K13" s="5">
        <v>1</v>
      </c>
      <c r="L13" s="5" t="s">
        <v>99</v>
      </c>
      <c r="M13" s="5">
        <v>2</v>
      </c>
      <c r="N13" s="5" t="s">
        <v>92</v>
      </c>
      <c r="O13" s="5">
        <v>3</v>
      </c>
      <c r="P13" s="30">
        <f t="shared" si="3"/>
        <v>0</v>
      </c>
      <c r="Q13" s="30">
        <f t="shared" si="4"/>
        <v>1</v>
      </c>
      <c r="R13" s="30">
        <f t="shared" si="5"/>
        <v>0</v>
      </c>
      <c r="S13" s="5">
        <v>1</v>
      </c>
    </row>
    <row r="14" spans="1:19" x14ac:dyDescent="0.25">
      <c r="A14" s="5">
        <v>10</v>
      </c>
      <c r="B14" s="5" t="s">
        <v>115</v>
      </c>
      <c r="C14" s="7">
        <v>39981</v>
      </c>
      <c r="D14" s="5" t="s">
        <v>116</v>
      </c>
      <c r="E14" s="5">
        <f t="shared" si="0"/>
        <v>2009</v>
      </c>
      <c r="F14" s="5">
        <f t="shared" si="1"/>
        <v>2</v>
      </c>
      <c r="G14" s="5">
        <f t="shared" si="2"/>
        <v>2</v>
      </c>
      <c r="H14" s="5" t="s">
        <v>95</v>
      </c>
      <c r="I14" s="5">
        <v>4</v>
      </c>
      <c r="J14" s="5" t="s">
        <v>104</v>
      </c>
      <c r="K14" s="5">
        <v>6</v>
      </c>
      <c r="L14" s="5" t="s">
        <v>91</v>
      </c>
      <c r="M14" s="5">
        <v>1</v>
      </c>
      <c r="N14" s="5" t="s">
        <v>100</v>
      </c>
      <c r="O14" s="5">
        <v>4</v>
      </c>
      <c r="P14" s="30">
        <f t="shared" si="3"/>
        <v>0</v>
      </c>
      <c r="Q14" s="30">
        <f t="shared" si="4"/>
        <v>0</v>
      </c>
      <c r="R14" s="30">
        <f t="shared" si="5"/>
        <v>1</v>
      </c>
      <c r="S14" s="5">
        <v>1</v>
      </c>
    </row>
    <row r="15" spans="1:19" x14ac:dyDescent="0.25">
      <c r="A15" s="5">
        <v>11</v>
      </c>
      <c r="B15" s="5" t="s">
        <v>117</v>
      </c>
      <c r="C15" s="7">
        <v>39993</v>
      </c>
      <c r="D15" s="5" t="s">
        <v>118</v>
      </c>
      <c r="E15" s="5">
        <f t="shared" si="0"/>
        <v>2009</v>
      </c>
      <c r="F15" s="5">
        <f t="shared" si="1"/>
        <v>2</v>
      </c>
      <c r="G15" s="5">
        <f t="shared" si="2"/>
        <v>2</v>
      </c>
      <c r="H15" s="5" t="s">
        <v>95</v>
      </c>
      <c r="I15" s="5">
        <v>2</v>
      </c>
      <c r="J15" s="5" t="s">
        <v>96</v>
      </c>
      <c r="K15" s="5">
        <v>1</v>
      </c>
      <c r="L15" s="5" t="s">
        <v>99</v>
      </c>
      <c r="M15" s="5">
        <v>1</v>
      </c>
      <c r="N15" s="5" t="s">
        <v>100</v>
      </c>
      <c r="O15" s="5">
        <v>3</v>
      </c>
      <c r="P15" s="30">
        <f t="shared" si="3"/>
        <v>0</v>
      </c>
      <c r="Q15" s="30">
        <f t="shared" si="4"/>
        <v>1</v>
      </c>
      <c r="R15" s="30">
        <f t="shared" si="5"/>
        <v>1</v>
      </c>
      <c r="S15" s="5">
        <v>1</v>
      </c>
    </row>
    <row r="16" spans="1:19" x14ac:dyDescent="0.25">
      <c r="A16" s="5">
        <v>12</v>
      </c>
      <c r="B16" s="5" t="s">
        <v>119</v>
      </c>
      <c r="C16" s="7">
        <v>39994</v>
      </c>
      <c r="D16" s="5" t="s">
        <v>120</v>
      </c>
      <c r="E16" s="5">
        <f t="shared" si="0"/>
        <v>2009</v>
      </c>
      <c r="F16" s="5">
        <f t="shared" si="1"/>
        <v>2</v>
      </c>
      <c r="G16" s="5">
        <f t="shared" si="2"/>
        <v>2</v>
      </c>
      <c r="H16" s="5" t="s">
        <v>103</v>
      </c>
      <c r="I16" s="5">
        <v>3</v>
      </c>
      <c r="J16" s="5" t="s">
        <v>121</v>
      </c>
      <c r="K16" s="5">
        <v>6</v>
      </c>
      <c r="L16" s="5" t="s">
        <v>91</v>
      </c>
      <c r="M16" s="5">
        <v>1</v>
      </c>
      <c r="N16" s="5" t="s">
        <v>100</v>
      </c>
      <c r="O16" s="5">
        <v>1</v>
      </c>
      <c r="P16" s="30">
        <f t="shared" si="3"/>
        <v>0</v>
      </c>
      <c r="Q16" s="30">
        <f t="shared" si="4"/>
        <v>0</v>
      </c>
      <c r="R16" s="30">
        <f t="shared" si="5"/>
        <v>1</v>
      </c>
      <c r="S16" s="5">
        <v>1</v>
      </c>
    </row>
    <row r="17" spans="1:19" x14ac:dyDescent="0.25">
      <c r="A17" s="5">
        <v>13</v>
      </c>
      <c r="B17" s="5" t="s">
        <v>122</v>
      </c>
      <c r="C17" s="7">
        <v>40021</v>
      </c>
      <c r="D17" s="5" t="s">
        <v>123</v>
      </c>
      <c r="E17" s="5">
        <f t="shared" si="0"/>
        <v>2009</v>
      </c>
      <c r="F17" s="5">
        <f t="shared" si="1"/>
        <v>3</v>
      </c>
      <c r="G17" s="5">
        <f t="shared" si="2"/>
        <v>3</v>
      </c>
      <c r="H17" s="5" t="s">
        <v>89</v>
      </c>
      <c r="I17" s="5">
        <v>2</v>
      </c>
      <c r="J17" s="5" t="s">
        <v>96</v>
      </c>
      <c r="K17" s="5">
        <v>1</v>
      </c>
      <c r="L17" s="5" t="s">
        <v>99</v>
      </c>
      <c r="M17" s="5">
        <v>1</v>
      </c>
      <c r="N17" s="5" t="s">
        <v>100</v>
      </c>
      <c r="O17" s="5">
        <v>3</v>
      </c>
      <c r="P17" s="30">
        <f t="shared" si="3"/>
        <v>0</v>
      </c>
      <c r="Q17" s="30">
        <f t="shared" si="4"/>
        <v>1</v>
      </c>
      <c r="R17" s="30">
        <f t="shared" si="5"/>
        <v>1</v>
      </c>
      <c r="S17" s="5">
        <v>1</v>
      </c>
    </row>
    <row r="18" spans="1:19" x14ac:dyDescent="0.25">
      <c r="A18" s="5">
        <v>14</v>
      </c>
      <c r="B18" s="5" t="s">
        <v>124</v>
      </c>
      <c r="C18" s="7">
        <v>40027</v>
      </c>
      <c r="D18" s="5" t="s">
        <v>125</v>
      </c>
      <c r="E18" s="5">
        <f t="shared" si="0"/>
        <v>2009</v>
      </c>
      <c r="F18" s="5">
        <f t="shared" si="1"/>
        <v>3</v>
      </c>
      <c r="G18" s="5">
        <f t="shared" si="2"/>
        <v>3</v>
      </c>
      <c r="H18" s="5" t="s">
        <v>89</v>
      </c>
      <c r="I18" s="5">
        <v>1</v>
      </c>
      <c r="J18" s="5" t="s">
        <v>126</v>
      </c>
      <c r="K18" s="5">
        <v>6</v>
      </c>
      <c r="L18" s="5" t="s">
        <v>91</v>
      </c>
      <c r="M18" s="5">
        <v>1</v>
      </c>
      <c r="N18" s="5" t="s">
        <v>100</v>
      </c>
      <c r="O18" s="5">
        <v>6</v>
      </c>
      <c r="P18" s="30">
        <f t="shared" si="3"/>
        <v>1</v>
      </c>
      <c r="Q18" s="30">
        <f t="shared" si="4"/>
        <v>0</v>
      </c>
      <c r="R18" s="30">
        <f t="shared" si="5"/>
        <v>1</v>
      </c>
      <c r="S18" s="5">
        <v>1</v>
      </c>
    </row>
    <row r="19" spans="1:19" x14ac:dyDescent="0.25">
      <c r="A19" s="5">
        <v>15</v>
      </c>
      <c r="B19" s="5" t="s">
        <v>127</v>
      </c>
      <c r="C19" s="7">
        <v>40046</v>
      </c>
      <c r="D19" s="5" t="s">
        <v>128</v>
      </c>
      <c r="E19" s="5">
        <f t="shared" si="0"/>
        <v>2009</v>
      </c>
      <c r="F19" s="5">
        <f t="shared" si="1"/>
        <v>3</v>
      </c>
      <c r="G19" s="5">
        <f t="shared" si="2"/>
        <v>3</v>
      </c>
      <c r="H19" s="5" t="s">
        <v>89</v>
      </c>
      <c r="I19" s="5">
        <v>6</v>
      </c>
      <c r="J19" s="5" t="s">
        <v>129</v>
      </c>
      <c r="K19" s="5">
        <v>1</v>
      </c>
      <c r="L19" s="5" t="s">
        <v>99</v>
      </c>
      <c r="M19" s="5">
        <v>1</v>
      </c>
      <c r="N19" s="5" t="s">
        <v>100</v>
      </c>
      <c r="O19" s="5">
        <v>2</v>
      </c>
      <c r="P19" s="30">
        <f t="shared" si="3"/>
        <v>1</v>
      </c>
      <c r="Q19" s="30">
        <f t="shared" si="4"/>
        <v>1</v>
      </c>
      <c r="R19" s="30">
        <f t="shared" si="5"/>
        <v>1</v>
      </c>
      <c r="S19" s="5">
        <v>1</v>
      </c>
    </row>
    <row r="20" spans="1:19" x14ac:dyDescent="0.25">
      <c r="A20" s="5">
        <v>16</v>
      </c>
      <c r="B20" s="5" t="s">
        <v>130</v>
      </c>
      <c r="C20" s="7">
        <v>40097</v>
      </c>
      <c r="D20" s="5" t="s">
        <v>131</v>
      </c>
      <c r="E20" s="5">
        <f t="shared" si="0"/>
        <v>2009</v>
      </c>
      <c r="F20" s="5">
        <f t="shared" si="1"/>
        <v>4</v>
      </c>
      <c r="G20" s="5">
        <f t="shared" si="2"/>
        <v>4</v>
      </c>
      <c r="H20" s="5" t="s">
        <v>95</v>
      </c>
      <c r="I20" s="5">
        <v>1</v>
      </c>
      <c r="J20" s="5" t="s">
        <v>126</v>
      </c>
      <c r="K20" s="5">
        <v>6</v>
      </c>
      <c r="L20" s="5" t="s">
        <v>91</v>
      </c>
      <c r="M20" s="5">
        <v>1</v>
      </c>
      <c r="N20" s="5" t="s">
        <v>100</v>
      </c>
      <c r="O20" s="5">
        <v>1</v>
      </c>
      <c r="P20" s="30">
        <f t="shared" si="3"/>
        <v>1</v>
      </c>
      <c r="Q20" s="30">
        <f t="shared" si="4"/>
        <v>0</v>
      </c>
      <c r="R20" s="30">
        <f t="shared" si="5"/>
        <v>1</v>
      </c>
      <c r="S20" s="5">
        <v>1</v>
      </c>
    </row>
    <row r="21" spans="1:19" x14ac:dyDescent="0.25">
      <c r="A21" s="5">
        <v>17</v>
      </c>
      <c r="B21" s="5" t="s">
        <v>132</v>
      </c>
      <c r="C21" s="7">
        <v>40134</v>
      </c>
      <c r="D21" s="5" t="s">
        <v>133</v>
      </c>
      <c r="E21" s="5">
        <f t="shared" si="0"/>
        <v>2009</v>
      </c>
      <c r="F21" s="5">
        <f t="shared" si="1"/>
        <v>4</v>
      </c>
      <c r="G21" s="5">
        <f t="shared" si="2"/>
        <v>4</v>
      </c>
      <c r="H21" s="5" t="s">
        <v>95</v>
      </c>
      <c r="I21" s="5">
        <v>3</v>
      </c>
      <c r="J21" s="5" t="s">
        <v>121</v>
      </c>
      <c r="K21" s="5">
        <v>1</v>
      </c>
      <c r="L21" s="5" t="s">
        <v>99</v>
      </c>
      <c r="M21" s="5">
        <v>1</v>
      </c>
      <c r="N21" s="5" t="s">
        <v>100</v>
      </c>
      <c r="O21" s="5">
        <v>1</v>
      </c>
      <c r="P21" s="30">
        <f t="shared" si="3"/>
        <v>0</v>
      </c>
      <c r="Q21" s="30">
        <f t="shared" si="4"/>
        <v>1</v>
      </c>
      <c r="R21" s="30">
        <f t="shared" si="5"/>
        <v>1</v>
      </c>
      <c r="S21" s="5">
        <v>1</v>
      </c>
    </row>
    <row r="22" spans="1:19" x14ac:dyDescent="0.25">
      <c r="A22" s="5">
        <v>18</v>
      </c>
      <c r="B22" s="5" t="s">
        <v>134</v>
      </c>
      <c r="C22" s="7">
        <v>40145</v>
      </c>
      <c r="D22" s="5" t="s">
        <v>135</v>
      </c>
      <c r="E22" s="5">
        <f t="shared" si="0"/>
        <v>2009</v>
      </c>
      <c r="F22" s="5">
        <f t="shared" si="1"/>
        <v>4</v>
      </c>
      <c r="G22" s="5">
        <f t="shared" si="2"/>
        <v>4</v>
      </c>
      <c r="H22" s="5" t="s">
        <v>89</v>
      </c>
      <c r="I22" s="5">
        <v>7</v>
      </c>
      <c r="J22" s="5" t="s">
        <v>90</v>
      </c>
      <c r="K22" s="5">
        <v>6</v>
      </c>
      <c r="L22" s="5" t="s">
        <v>91</v>
      </c>
      <c r="M22" s="5">
        <v>2</v>
      </c>
      <c r="N22" s="5" t="s">
        <v>92</v>
      </c>
      <c r="O22" s="5">
        <v>1</v>
      </c>
      <c r="P22" s="30">
        <f t="shared" si="3"/>
        <v>1</v>
      </c>
      <c r="Q22" s="30">
        <f t="shared" si="4"/>
        <v>0</v>
      </c>
      <c r="R22" s="30">
        <f t="shared" si="5"/>
        <v>0</v>
      </c>
      <c r="S22" s="5">
        <v>1</v>
      </c>
    </row>
    <row r="23" spans="1:19" x14ac:dyDescent="0.25">
      <c r="A23" s="5">
        <v>19</v>
      </c>
      <c r="B23" s="5" t="s">
        <v>136</v>
      </c>
      <c r="C23" s="7">
        <v>40153</v>
      </c>
      <c r="D23" s="5" t="s">
        <v>137</v>
      </c>
      <c r="E23" s="5">
        <f t="shared" si="0"/>
        <v>2009</v>
      </c>
      <c r="F23" s="5">
        <f t="shared" si="1"/>
        <v>4</v>
      </c>
      <c r="G23" s="5">
        <f t="shared" si="2"/>
        <v>4</v>
      </c>
      <c r="H23" s="5" t="s">
        <v>89</v>
      </c>
      <c r="I23" s="5">
        <v>1</v>
      </c>
      <c r="J23" s="5" t="s">
        <v>126</v>
      </c>
      <c r="K23" s="5">
        <v>6</v>
      </c>
      <c r="L23" s="5" t="s">
        <v>91</v>
      </c>
      <c r="M23" s="5">
        <v>2</v>
      </c>
      <c r="N23" s="5" t="s">
        <v>92</v>
      </c>
      <c r="O23" s="5">
        <v>1</v>
      </c>
      <c r="P23" s="30">
        <f t="shared" si="3"/>
        <v>1</v>
      </c>
      <c r="Q23" s="30">
        <f t="shared" si="4"/>
        <v>0</v>
      </c>
      <c r="R23" s="30">
        <f t="shared" si="5"/>
        <v>0</v>
      </c>
      <c r="S23" s="5">
        <v>1</v>
      </c>
    </row>
    <row r="24" spans="1:19" x14ac:dyDescent="0.25">
      <c r="A24" s="5">
        <v>20</v>
      </c>
      <c r="B24" s="5" t="s">
        <v>138</v>
      </c>
      <c r="C24" s="7">
        <v>40163</v>
      </c>
      <c r="D24" s="5" t="s">
        <v>139</v>
      </c>
      <c r="E24" s="5">
        <f t="shared" si="0"/>
        <v>2009</v>
      </c>
      <c r="F24" s="5">
        <f t="shared" si="1"/>
        <v>4</v>
      </c>
      <c r="G24" s="5">
        <f t="shared" si="2"/>
        <v>4</v>
      </c>
      <c r="H24" s="5" t="s">
        <v>103</v>
      </c>
      <c r="I24" s="5">
        <v>4</v>
      </c>
      <c r="J24" s="5" t="s">
        <v>104</v>
      </c>
      <c r="K24" s="5">
        <v>6</v>
      </c>
      <c r="L24" s="5" t="s">
        <v>91</v>
      </c>
      <c r="M24" s="5">
        <v>2</v>
      </c>
      <c r="N24" s="5" t="s">
        <v>92</v>
      </c>
      <c r="O24" s="5">
        <v>2</v>
      </c>
      <c r="P24" s="30">
        <f t="shared" si="3"/>
        <v>0</v>
      </c>
      <c r="Q24" s="30">
        <f t="shared" si="4"/>
        <v>0</v>
      </c>
      <c r="R24" s="30">
        <f t="shared" si="5"/>
        <v>0</v>
      </c>
      <c r="S24" s="5">
        <v>1</v>
      </c>
    </row>
    <row r="25" spans="1:19" x14ac:dyDescent="0.25">
      <c r="A25" s="5">
        <v>21</v>
      </c>
      <c r="B25" s="5" t="s">
        <v>140</v>
      </c>
      <c r="C25" s="7">
        <v>40169</v>
      </c>
      <c r="D25" s="5" t="s">
        <v>141</v>
      </c>
      <c r="E25" s="5">
        <f t="shared" si="0"/>
        <v>2009</v>
      </c>
      <c r="F25" s="5">
        <f t="shared" si="1"/>
        <v>4</v>
      </c>
      <c r="G25" s="5">
        <f t="shared" si="2"/>
        <v>4</v>
      </c>
      <c r="H25" s="5" t="s">
        <v>89</v>
      </c>
      <c r="I25" s="5">
        <v>3</v>
      </c>
      <c r="J25" s="5" t="s">
        <v>121</v>
      </c>
      <c r="K25" s="5">
        <v>4</v>
      </c>
      <c r="L25" s="5" t="s">
        <v>142</v>
      </c>
      <c r="M25" s="5">
        <v>2</v>
      </c>
      <c r="N25" s="5" t="s">
        <v>92</v>
      </c>
      <c r="O25" s="5">
        <v>4</v>
      </c>
      <c r="P25" s="30">
        <f t="shared" si="3"/>
        <v>0</v>
      </c>
      <c r="Q25" s="30">
        <f t="shared" si="4"/>
        <v>0</v>
      </c>
      <c r="R25" s="30">
        <f t="shared" si="5"/>
        <v>0</v>
      </c>
      <c r="S25" s="5">
        <v>1</v>
      </c>
    </row>
    <row r="26" spans="1:19" x14ac:dyDescent="0.25">
      <c r="A26" s="5">
        <v>22</v>
      </c>
      <c r="B26" s="5" t="s">
        <v>143</v>
      </c>
      <c r="C26" s="7">
        <v>40169</v>
      </c>
      <c r="D26" s="5" t="s">
        <v>144</v>
      </c>
      <c r="E26" s="5">
        <f t="shared" si="0"/>
        <v>2009</v>
      </c>
      <c r="F26" s="5">
        <f t="shared" si="1"/>
        <v>4</v>
      </c>
      <c r="G26" s="5">
        <f t="shared" si="2"/>
        <v>4</v>
      </c>
      <c r="H26" s="5" t="s">
        <v>103</v>
      </c>
      <c r="I26" s="5">
        <v>3</v>
      </c>
      <c r="J26" s="5" t="s">
        <v>121</v>
      </c>
      <c r="K26" s="5">
        <v>6</v>
      </c>
      <c r="L26" s="5" t="s">
        <v>91</v>
      </c>
      <c r="M26" s="5">
        <v>4</v>
      </c>
      <c r="N26" s="5" t="s">
        <v>145</v>
      </c>
      <c r="O26" s="5">
        <v>48</v>
      </c>
      <c r="P26" s="30">
        <f t="shared" si="3"/>
        <v>0</v>
      </c>
      <c r="Q26" s="30">
        <f t="shared" si="4"/>
        <v>0</v>
      </c>
      <c r="R26" s="30">
        <f t="shared" si="5"/>
        <v>0</v>
      </c>
      <c r="S26" s="5">
        <v>1</v>
      </c>
    </row>
    <row r="27" spans="1:19" x14ac:dyDescent="0.25">
      <c r="A27" s="5">
        <v>23</v>
      </c>
      <c r="B27" s="5" t="s">
        <v>146</v>
      </c>
      <c r="C27" s="7">
        <v>40203</v>
      </c>
      <c r="D27" s="5" t="s">
        <v>147</v>
      </c>
      <c r="E27" s="5">
        <f t="shared" si="0"/>
        <v>2010</v>
      </c>
      <c r="F27" s="5">
        <f t="shared" si="1"/>
        <v>1</v>
      </c>
      <c r="G27" s="5">
        <f t="shared" si="2"/>
        <v>5</v>
      </c>
      <c r="H27" s="5" t="s">
        <v>89</v>
      </c>
      <c r="I27" s="5">
        <v>2</v>
      </c>
      <c r="J27" s="5" t="s">
        <v>96</v>
      </c>
      <c r="K27" s="5">
        <v>6</v>
      </c>
      <c r="L27" s="5" t="s">
        <v>91</v>
      </c>
      <c r="M27" s="5">
        <v>2</v>
      </c>
      <c r="N27" s="5" t="s">
        <v>92</v>
      </c>
      <c r="O27" s="5">
        <v>1</v>
      </c>
      <c r="P27" s="30">
        <f t="shared" si="3"/>
        <v>0</v>
      </c>
      <c r="Q27" s="30">
        <f t="shared" si="4"/>
        <v>0</v>
      </c>
      <c r="R27" s="30">
        <f t="shared" si="5"/>
        <v>0</v>
      </c>
      <c r="S27" s="5">
        <v>1</v>
      </c>
    </row>
    <row r="28" spans="1:19" x14ac:dyDescent="0.25">
      <c r="A28" s="5">
        <v>24</v>
      </c>
      <c r="B28" s="5" t="s">
        <v>148</v>
      </c>
      <c r="C28" s="7">
        <v>40225</v>
      </c>
      <c r="D28" s="5" t="s">
        <v>149</v>
      </c>
      <c r="E28" s="5">
        <f t="shared" si="0"/>
        <v>2010</v>
      </c>
      <c r="F28" s="5">
        <f t="shared" si="1"/>
        <v>1</v>
      </c>
      <c r="G28" s="5">
        <f t="shared" si="2"/>
        <v>5</v>
      </c>
      <c r="H28" s="5" t="s">
        <v>89</v>
      </c>
      <c r="I28" s="5">
        <v>3</v>
      </c>
      <c r="J28" s="5" t="s">
        <v>121</v>
      </c>
      <c r="K28" s="5">
        <v>6</v>
      </c>
      <c r="L28" s="5" t="s">
        <v>91</v>
      </c>
      <c r="M28" s="5">
        <v>2</v>
      </c>
      <c r="N28" s="5" t="s">
        <v>92</v>
      </c>
      <c r="O28" s="5">
        <v>1</v>
      </c>
      <c r="P28" s="30">
        <f t="shared" si="3"/>
        <v>0</v>
      </c>
      <c r="Q28" s="30">
        <f t="shared" si="4"/>
        <v>0</v>
      </c>
      <c r="R28" s="30">
        <f t="shared" si="5"/>
        <v>0</v>
      </c>
      <c r="S28" s="5">
        <v>1</v>
      </c>
    </row>
    <row r="29" spans="1:19" x14ac:dyDescent="0.25">
      <c r="A29" s="5">
        <v>25</v>
      </c>
      <c r="B29" s="5" t="s">
        <v>150</v>
      </c>
      <c r="C29" s="7">
        <v>40228</v>
      </c>
      <c r="D29" s="5" t="s">
        <v>151</v>
      </c>
      <c r="E29" s="5">
        <f t="shared" si="0"/>
        <v>2010</v>
      </c>
      <c r="F29" s="5">
        <f t="shared" si="1"/>
        <v>1</v>
      </c>
      <c r="G29" s="5">
        <f t="shared" si="2"/>
        <v>5</v>
      </c>
      <c r="H29" s="5" t="s">
        <v>89</v>
      </c>
      <c r="I29" s="5">
        <v>6</v>
      </c>
      <c r="J29" s="5" t="s">
        <v>129</v>
      </c>
      <c r="K29" s="5">
        <v>1</v>
      </c>
      <c r="L29" s="5" t="s">
        <v>99</v>
      </c>
      <c r="M29" s="5">
        <v>1</v>
      </c>
      <c r="N29" s="5" t="s">
        <v>100</v>
      </c>
      <c r="O29" s="5">
        <v>5</v>
      </c>
      <c r="P29" s="30">
        <f t="shared" si="3"/>
        <v>1</v>
      </c>
      <c r="Q29" s="30">
        <f t="shared" si="4"/>
        <v>1</v>
      </c>
      <c r="R29" s="30">
        <f t="shared" si="5"/>
        <v>1</v>
      </c>
      <c r="S29" s="5">
        <v>1</v>
      </c>
    </row>
    <row r="30" spans="1:19" x14ac:dyDescent="0.25">
      <c r="A30" s="5">
        <v>26</v>
      </c>
      <c r="B30" s="5" t="s">
        <v>152</v>
      </c>
      <c r="C30" s="7">
        <v>40229</v>
      </c>
      <c r="D30" s="5" t="s">
        <v>153</v>
      </c>
      <c r="E30" s="5">
        <f t="shared" si="0"/>
        <v>2010</v>
      </c>
      <c r="F30" s="5">
        <f t="shared" si="1"/>
        <v>1</v>
      </c>
      <c r="G30" s="5">
        <f t="shared" si="2"/>
        <v>5</v>
      </c>
      <c r="H30" s="5" t="s">
        <v>89</v>
      </c>
      <c r="I30" s="5">
        <v>7</v>
      </c>
      <c r="J30" s="5" t="s">
        <v>90</v>
      </c>
      <c r="K30" s="5">
        <v>1</v>
      </c>
      <c r="L30" s="5" t="s">
        <v>99</v>
      </c>
      <c r="M30" s="5">
        <v>2</v>
      </c>
      <c r="N30" s="5" t="s">
        <v>92</v>
      </c>
      <c r="O30" s="5">
        <v>1</v>
      </c>
      <c r="P30" s="30">
        <f t="shared" si="3"/>
        <v>1</v>
      </c>
      <c r="Q30" s="30">
        <f t="shared" si="4"/>
        <v>1</v>
      </c>
      <c r="R30" s="30">
        <f t="shared" si="5"/>
        <v>0</v>
      </c>
      <c r="S30" s="5">
        <v>1</v>
      </c>
    </row>
    <row r="31" spans="1:19" x14ac:dyDescent="0.25">
      <c r="A31" s="5">
        <v>27</v>
      </c>
      <c r="B31" s="5" t="s">
        <v>154</v>
      </c>
      <c r="C31" s="7">
        <v>40233</v>
      </c>
      <c r="D31" s="5" t="s">
        <v>155</v>
      </c>
      <c r="E31" s="5">
        <f t="shared" si="0"/>
        <v>2010</v>
      </c>
      <c r="F31" s="5">
        <f t="shared" si="1"/>
        <v>1</v>
      </c>
      <c r="G31" s="5">
        <f t="shared" si="2"/>
        <v>5</v>
      </c>
      <c r="H31" s="5" t="s">
        <v>89</v>
      </c>
      <c r="I31" s="5">
        <v>4</v>
      </c>
      <c r="J31" s="5" t="s">
        <v>104</v>
      </c>
      <c r="K31" s="5">
        <v>1</v>
      </c>
      <c r="L31" s="5" t="s">
        <v>99</v>
      </c>
      <c r="M31" s="5">
        <v>2</v>
      </c>
      <c r="N31" s="5" t="s">
        <v>92</v>
      </c>
      <c r="O31" s="5">
        <v>2</v>
      </c>
      <c r="P31" s="30">
        <f t="shared" si="3"/>
        <v>0</v>
      </c>
      <c r="Q31" s="30">
        <f t="shared" si="4"/>
        <v>1</v>
      </c>
      <c r="R31" s="30">
        <f t="shared" si="5"/>
        <v>0</v>
      </c>
      <c r="S31" s="5">
        <v>1</v>
      </c>
    </row>
    <row r="32" spans="1:19" x14ac:dyDescent="0.25">
      <c r="A32" s="5">
        <v>28</v>
      </c>
      <c r="B32" s="5" t="s">
        <v>156</v>
      </c>
      <c r="C32" s="7">
        <v>40245</v>
      </c>
      <c r="D32" s="5" t="s">
        <v>157</v>
      </c>
      <c r="E32" s="5">
        <f t="shared" si="0"/>
        <v>2010</v>
      </c>
      <c r="F32" s="5">
        <f t="shared" si="1"/>
        <v>1</v>
      </c>
      <c r="G32" s="5">
        <f t="shared" si="2"/>
        <v>5</v>
      </c>
      <c r="H32" s="5" t="s">
        <v>89</v>
      </c>
      <c r="I32" s="5">
        <v>2</v>
      </c>
      <c r="J32" s="5" t="s">
        <v>96</v>
      </c>
      <c r="K32" s="5">
        <v>6</v>
      </c>
      <c r="L32" s="5" t="s">
        <v>91</v>
      </c>
      <c r="M32" s="5">
        <v>1</v>
      </c>
      <c r="N32" s="5" t="s">
        <v>100</v>
      </c>
      <c r="O32" s="5">
        <v>1</v>
      </c>
      <c r="P32" s="30">
        <f t="shared" si="3"/>
        <v>0</v>
      </c>
      <c r="Q32" s="30">
        <f t="shared" si="4"/>
        <v>0</v>
      </c>
      <c r="R32" s="30">
        <f t="shared" si="5"/>
        <v>1</v>
      </c>
      <c r="S32" s="5">
        <v>1</v>
      </c>
    </row>
    <row r="33" spans="1:19" x14ac:dyDescent="0.25">
      <c r="A33" s="5">
        <v>29</v>
      </c>
      <c r="B33" s="5" t="s">
        <v>158</v>
      </c>
      <c r="C33" s="7">
        <v>40247</v>
      </c>
      <c r="D33" s="5" t="s">
        <v>159</v>
      </c>
      <c r="E33" s="5">
        <f t="shared" si="0"/>
        <v>2010</v>
      </c>
      <c r="F33" s="5">
        <f t="shared" si="1"/>
        <v>1</v>
      </c>
      <c r="G33" s="5">
        <f t="shared" si="2"/>
        <v>5</v>
      </c>
      <c r="H33" s="5" t="s">
        <v>89</v>
      </c>
      <c r="I33" s="5">
        <v>4</v>
      </c>
      <c r="J33" s="5" t="s">
        <v>104</v>
      </c>
      <c r="K33" s="5">
        <v>1</v>
      </c>
      <c r="L33" s="5" t="s">
        <v>99</v>
      </c>
      <c r="M33" s="5">
        <v>1</v>
      </c>
      <c r="N33" s="5" t="s">
        <v>100</v>
      </c>
      <c r="O33" s="5">
        <v>3</v>
      </c>
      <c r="P33" s="30">
        <f t="shared" si="3"/>
        <v>0</v>
      </c>
      <c r="Q33" s="30">
        <f t="shared" si="4"/>
        <v>1</v>
      </c>
      <c r="R33" s="30">
        <f t="shared" si="5"/>
        <v>1</v>
      </c>
      <c r="S33" s="5">
        <v>1</v>
      </c>
    </row>
    <row r="34" spans="1:19" x14ac:dyDescent="0.25">
      <c r="A34" s="5">
        <v>30</v>
      </c>
      <c r="B34" s="5" t="s">
        <v>160</v>
      </c>
      <c r="C34" s="7">
        <v>40269</v>
      </c>
      <c r="D34" s="5" t="s">
        <v>161</v>
      </c>
      <c r="E34" s="5">
        <f t="shared" si="0"/>
        <v>2010</v>
      </c>
      <c r="F34" s="5">
        <f t="shared" si="1"/>
        <v>2</v>
      </c>
      <c r="G34" s="5">
        <f t="shared" si="2"/>
        <v>6</v>
      </c>
      <c r="H34" s="5" t="s">
        <v>162</v>
      </c>
      <c r="I34" s="5">
        <v>5</v>
      </c>
      <c r="J34" s="5" t="s">
        <v>163</v>
      </c>
      <c r="K34" s="5">
        <v>1</v>
      </c>
      <c r="L34" s="5" t="s">
        <v>99</v>
      </c>
      <c r="M34" s="5">
        <v>1</v>
      </c>
      <c r="N34" s="5" t="s">
        <v>100</v>
      </c>
      <c r="O34" s="5">
        <v>1</v>
      </c>
      <c r="P34" s="30">
        <f t="shared" si="3"/>
        <v>0</v>
      </c>
      <c r="Q34" s="30">
        <f t="shared" si="4"/>
        <v>1</v>
      </c>
      <c r="R34" s="30">
        <f t="shared" si="5"/>
        <v>1</v>
      </c>
      <c r="S34" s="5">
        <v>1</v>
      </c>
    </row>
    <row r="35" spans="1:19" x14ac:dyDescent="0.25">
      <c r="A35" s="5">
        <v>31</v>
      </c>
      <c r="B35" s="5" t="s">
        <v>164</v>
      </c>
      <c r="C35" s="7">
        <v>40273</v>
      </c>
      <c r="D35" s="5" t="s">
        <v>165</v>
      </c>
      <c r="E35" s="5">
        <f t="shared" si="0"/>
        <v>2010</v>
      </c>
      <c r="F35" s="5">
        <f t="shared" si="1"/>
        <v>2</v>
      </c>
      <c r="G35" s="5">
        <f t="shared" si="2"/>
        <v>6</v>
      </c>
      <c r="H35" s="5" t="s">
        <v>89</v>
      </c>
      <c r="I35" s="5">
        <v>2</v>
      </c>
      <c r="J35" s="5" t="s">
        <v>96</v>
      </c>
      <c r="K35" s="5">
        <v>1</v>
      </c>
      <c r="L35" s="5" t="s">
        <v>99</v>
      </c>
      <c r="M35" s="5">
        <v>1</v>
      </c>
      <c r="N35" s="5" t="s">
        <v>100</v>
      </c>
      <c r="O35" s="5">
        <v>1</v>
      </c>
      <c r="P35" s="30">
        <f t="shared" si="3"/>
        <v>0</v>
      </c>
      <c r="Q35" s="30">
        <f t="shared" si="4"/>
        <v>1</v>
      </c>
      <c r="R35" s="30">
        <f t="shared" si="5"/>
        <v>1</v>
      </c>
      <c r="S35" s="5">
        <v>1</v>
      </c>
    </row>
    <row r="36" spans="1:19" x14ac:dyDescent="0.25">
      <c r="A36" s="5">
        <v>32</v>
      </c>
      <c r="B36" s="5" t="s">
        <v>166</v>
      </c>
      <c r="C36" s="7">
        <v>40276</v>
      </c>
      <c r="D36" s="5" t="s">
        <v>167</v>
      </c>
      <c r="E36" s="5">
        <f t="shared" si="0"/>
        <v>2010</v>
      </c>
      <c r="F36" s="5">
        <f t="shared" si="1"/>
        <v>2</v>
      </c>
      <c r="G36" s="5">
        <f t="shared" si="2"/>
        <v>6</v>
      </c>
      <c r="H36" s="5" t="s">
        <v>89</v>
      </c>
      <c r="I36" s="5">
        <v>5</v>
      </c>
      <c r="J36" s="5" t="s">
        <v>163</v>
      </c>
      <c r="K36" s="5">
        <v>1</v>
      </c>
      <c r="L36" s="5" t="s">
        <v>99</v>
      </c>
      <c r="M36" s="5">
        <v>1</v>
      </c>
      <c r="N36" s="5" t="s">
        <v>100</v>
      </c>
      <c r="O36" s="5">
        <v>2</v>
      </c>
      <c r="P36" s="30">
        <f t="shared" si="3"/>
        <v>0</v>
      </c>
      <c r="Q36" s="30">
        <f t="shared" si="4"/>
        <v>1</v>
      </c>
      <c r="R36" s="30">
        <f t="shared" si="5"/>
        <v>1</v>
      </c>
      <c r="S36" s="5">
        <v>1</v>
      </c>
    </row>
    <row r="37" spans="1:19" x14ac:dyDescent="0.25">
      <c r="A37" s="5">
        <v>33</v>
      </c>
      <c r="B37" s="5" t="s">
        <v>168</v>
      </c>
      <c r="C37" s="7">
        <v>40304</v>
      </c>
      <c r="D37" s="5" t="s">
        <v>169</v>
      </c>
      <c r="E37" s="5">
        <f t="shared" ref="E37:E68" si="6">YEAR(C37)</f>
        <v>2010</v>
      </c>
      <c r="F37" s="5">
        <f t="shared" ref="F37:F68" si="7">ROUNDUP(MONTH(C37)/3,0)</f>
        <v>2</v>
      </c>
      <c r="G37" s="5">
        <f t="shared" ref="G37:G68" si="8">(E37-2009)*4+F37</f>
        <v>6</v>
      </c>
      <c r="H37" s="5" t="s">
        <v>89</v>
      </c>
      <c r="I37" s="5">
        <v>5</v>
      </c>
      <c r="J37" s="5" t="s">
        <v>163</v>
      </c>
      <c r="K37" s="5">
        <v>6</v>
      </c>
      <c r="L37" s="5" t="s">
        <v>91</v>
      </c>
      <c r="M37" s="5">
        <v>2</v>
      </c>
      <c r="N37" s="5" t="s">
        <v>92</v>
      </c>
      <c r="O37" s="5">
        <v>2</v>
      </c>
      <c r="P37" s="30">
        <f t="shared" ref="P37:P68" si="9">IF(OR(I37=1,I37=6,I37=7),1,0)</f>
        <v>0</v>
      </c>
      <c r="Q37" s="30">
        <f t="shared" ref="Q37:Q68" si="10">IF(K37=1,1,0)</f>
        <v>0</v>
      </c>
      <c r="R37" s="30">
        <f t="shared" ref="R37:R68" si="11">IF(M37=1,1,0)</f>
        <v>0</v>
      </c>
      <c r="S37" s="5">
        <v>1</v>
      </c>
    </row>
    <row r="38" spans="1:19" x14ac:dyDescent="0.25">
      <c r="A38" s="5">
        <v>34</v>
      </c>
      <c r="B38" s="5" t="s">
        <v>170</v>
      </c>
      <c r="C38" s="7">
        <v>40309</v>
      </c>
      <c r="D38" s="5" t="s">
        <v>171</v>
      </c>
      <c r="E38" s="5">
        <f t="shared" si="6"/>
        <v>2010</v>
      </c>
      <c r="F38" s="5">
        <f t="shared" si="7"/>
        <v>2</v>
      </c>
      <c r="G38" s="5">
        <f t="shared" si="8"/>
        <v>6</v>
      </c>
      <c r="H38" s="5" t="s">
        <v>89</v>
      </c>
      <c r="I38" s="5">
        <v>3</v>
      </c>
      <c r="J38" s="5" t="s">
        <v>121</v>
      </c>
      <c r="K38" s="5">
        <v>1</v>
      </c>
      <c r="L38" s="5" t="s">
        <v>99</v>
      </c>
      <c r="M38" s="5">
        <v>1</v>
      </c>
      <c r="N38" s="5" t="s">
        <v>100</v>
      </c>
      <c r="O38" s="5">
        <v>1</v>
      </c>
      <c r="P38" s="30">
        <f t="shared" si="9"/>
        <v>0</v>
      </c>
      <c r="Q38" s="30">
        <f t="shared" si="10"/>
        <v>1</v>
      </c>
      <c r="R38" s="30">
        <f t="shared" si="11"/>
        <v>1</v>
      </c>
      <c r="S38" s="5">
        <v>1</v>
      </c>
    </row>
    <row r="39" spans="1:19" x14ac:dyDescent="0.25">
      <c r="A39" s="5">
        <v>35</v>
      </c>
      <c r="B39" s="5" t="s">
        <v>172</v>
      </c>
      <c r="C39" s="7">
        <v>40320</v>
      </c>
      <c r="D39" s="5" t="s">
        <v>173</v>
      </c>
      <c r="E39" s="5">
        <f t="shared" si="6"/>
        <v>2010</v>
      </c>
      <c r="F39" s="5">
        <f t="shared" si="7"/>
        <v>2</v>
      </c>
      <c r="G39" s="5">
        <f t="shared" si="8"/>
        <v>6</v>
      </c>
      <c r="H39" s="5" t="s">
        <v>89</v>
      </c>
      <c r="I39" s="5">
        <v>7</v>
      </c>
      <c r="J39" s="5" t="s">
        <v>90</v>
      </c>
      <c r="K39" s="5">
        <v>1</v>
      </c>
      <c r="L39" s="5" t="s">
        <v>99</v>
      </c>
      <c r="M39" s="5">
        <v>1</v>
      </c>
      <c r="N39" s="5" t="s">
        <v>100</v>
      </c>
      <c r="O39" s="5">
        <v>2</v>
      </c>
      <c r="P39" s="30">
        <f t="shared" si="9"/>
        <v>1</v>
      </c>
      <c r="Q39" s="30">
        <f t="shared" si="10"/>
        <v>1</v>
      </c>
      <c r="R39" s="30">
        <f t="shared" si="11"/>
        <v>1</v>
      </c>
      <c r="S39" s="5">
        <v>1</v>
      </c>
    </row>
    <row r="40" spans="1:19" x14ac:dyDescent="0.25">
      <c r="A40" s="5">
        <v>36</v>
      </c>
      <c r="B40" s="5" t="s">
        <v>174</v>
      </c>
      <c r="C40" s="7">
        <v>40350</v>
      </c>
      <c r="D40" s="5" t="s">
        <v>175</v>
      </c>
      <c r="E40" s="5">
        <f t="shared" si="6"/>
        <v>2010</v>
      </c>
      <c r="F40" s="5">
        <f t="shared" si="7"/>
        <v>2</v>
      </c>
      <c r="G40" s="5">
        <f t="shared" si="8"/>
        <v>6</v>
      </c>
      <c r="H40" s="5" t="s">
        <v>95</v>
      </c>
      <c r="I40" s="5">
        <v>2</v>
      </c>
      <c r="J40" s="5" t="s">
        <v>96</v>
      </c>
      <c r="K40" s="5">
        <v>1</v>
      </c>
      <c r="L40" s="5" t="s">
        <v>99</v>
      </c>
      <c r="M40" s="5">
        <v>1</v>
      </c>
      <c r="N40" s="5" t="s">
        <v>100</v>
      </c>
      <c r="O40" s="5">
        <v>2</v>
      </c>
      <c r="P40" s="30">
        <f t="shared" si="9"/>
        <v>0</v>
      </c>
      <c r="Q40" s="30">
        <f t="shared" si="10"/>
        <v>1</v>
      </c>
      <c r="R40" s="30">
        <f t="shared" si="11"/>
        <v>1</v>
      </c>
      <c r="S40" s="5">
        <v>1</v>
      </c>
    </row>
    <row r="41" spans="1:19" x14ac:dyDescent="0.25">
      <c r="A41" s="5">
        <v>37</v>
      </c>
      <c r="B41" s="5" t="s">
        <v>176</v>
      </c>
      <c r="C41" s="7">
        <v>40355</v>
      </c>
      <c r="D41" s="5" t="s">
        <v>177</v>
      </c>
      <c r="E41" s="5">
        <f t="shared" si="6"/>
        <v>2010</v>
      </c>
      <c r="F41" s="5">
        <f t="shared" si="7"/>
        <v>2</v>
      </c>
      <c r="G41" s="5">
        <f t="shared" si="8"/>
        <v>6</v>
      </c>
      <c r="H41" s="5" t="s">
        <v>95</v>
      </c>
      <c r="I41" s="5">
        <v>7</v>
      </c>
      <c r="J41" s="5" t="s">
        <v>90</v>
      </c>
      <c r="K41" s="5">
        <v>1</v>
      </c>
      <c r="L41" s="5" t="s">
        <v>99</v>
      </c>
      <c r="M41" s="5">
        <v>1</v>
      </c>
      <c r="N41" s="5" t="s">
        <v>100</v>
      </c>
      <c r="O41" s="5">
        <v>1</v>
      </c>
      <c r="P41" s="30">
        <f t="shared" si="9"/>
        <v>1</v>
      </c>
      <c r="Q41" s="30">
        <f t="shared" si="10"/>
        <v>1</v>
      </c>
      <c r="R41" s="30">
        <f t="shared" si="11"/>
        <v>1</v>
      </c>
      <c r="S41" s="5">
        <v>1</v>
      </c>
    </row>
    <row r="42" spans="1:19" x14ac:dyDescent="0.25">
      <c r="A42" s="5">
        <v>38</v>
      </c>
      <c r="B42" s="5" t="s">
        <v>178</v>
      </c>
      <c r="C42" s="7">
        <v>40453</v>
      </c>
      <c r="D42" s="5" t="s">
        <v>179</v>
      </c>
      <c r="E42" s="5">
        <f t="shared" si="6"/>
        <v>2010</v>
      </c>
      <c r="F42" s="5">
        <f t="shared" si="7"/>
        <v>4</v>
      </c>
      <c r="G42" s="5">
        <f t="shared" si="8"/>
        <v>8</v>
      </c>
      <c r="H42" s="5" t="s">
        <v>89</v>
      </c>
      <c r="I42" s="5">
        <v>7</v>
      </c>
      <c r="J42" s="5" t="s">
        <v>90</v>
      </c>
      <c r="K42" s="5">
        <v>6</v>
      </c>
      <c r="L42" s="5" t="s">
        <v>91</v>
      </c>
      <c r="M42" s="5">
        <v>2</v>
      </c>
      <c r="N42" s="5" t="s">
        <v>92</v>
      </c>
      <c r="O42" s="5">
        <v>7</v>
      </c>
      <c r="P42" s="30">
        <f t="shared" si="9"/>
        <v>1</v>
      </c>
      <c r="Q42" s="30">
        <f t="shared" si="10"/>
        <v>0</v>
      </c>
      <c r="R42" s="30">
        <f t="shared" si="11"/>
        <v>0</v>
      </c>
      <c r="S42" s="5">
        <v>1</v>
      </c>
    </row>
    <row r="43" spans="1:19" x14ac:dyDescent="0.25">
      <c r="A43" s="5">
        <v>39</v>
      </c>
      <c r="B43" s="5" t="s">
        <v>180</v>
      </c>
      <c r="C43" s="7">
        <v>40473</v>
      </c>
      <c r="D43" s="5" t="s">
        <v>181</v>
      </c>
      <c r="E43" s="5">
        <f t="shared" si="6"/>
        <v>2010</v>
      </c>
      <c r="F43" s="5">
        <f t="shared" si="7"/>
        <v>4</v>
      </c>
      <c r="G43" s="5">
        <f t="shared" si="8"/>
        <v>8</v>
      </c>
      <c r="H43" s="5" t="s">
        <v>103</v>
      </c>
      <c r="I43" s="5">
        <v>6</v>
      </c>
      <c r="J43" s="5" t="s">
        <v>129</v>
      </c>
      <c r="K43" s="5">
        <v>6</v>
      </c>
      <c r="L43" s="5" t="s">
        <v>91</v>
      </c>
      <c r="M43" s="5">
        <v>2</v>
      </c>
      <c r="N43" s="5" t="s">
        <v>92</v>
      </c>
      <c r="O43" s="5">
        <v>1</v>
      </c>
      <c r="P43" s="30">
        <f t="shared" si="9"/>
        <v>1</v>
      </c>
      <c r="Q43" s="30">
        <f t="shared" si="10"/>
        <v>0</v>
      </c>
      <c r="R43" s="30">
        <f t="shared" si="11"/>
        <v>0</v>
      </c>
      <c r="S43" s="5">
        <v>1</v>
      </c>
    </row>
    <row r="44" spans="1:19" x14ac:dyDescent="0.25">
      <c r="A44" s="5">
        <v>40</v>
      </c>
      <c r="B44" s="5" t="s">
        <v>182</v>
      </c>
      <c r="C44" s="7">
        <v>40486</v>
      </c>
      <c r="D44" s="5" t="s">
        <v>183</v>
      </c>
      <c r="E44" s="5">
        <f t="shared" si="6"/>
        <v>2010</v>
      </c>
      <c r="F44" s="5">
        <f t="shared" si="7"/>
        <v>4</v>
      </c>
      <c r="G44" s="5">
        <f t="shared" si="8"/>
        <v>8</v>
      </c>
      <c r="H44" s="5" t="s">
        <v>89</v>
      </c>
      <c r="I44" s="5">
        <v>5</v>
      </c>
      <c r="J44" s="5" t="s">
        <v>163</v>
      </c>
      <c r="K44" s="5">
        <v>1</v>
      </c>
      <c r="L44" s="5" t="s">
        <v>99</v>
      </c>
      <c r="M44" s="5">
        <v>2</v>
      </c>
      <c r="N44" s="5" t="s">
        <v>92</v>
      </c>
      <c r="O44" s="5">
        <v>1</v>
      </c>
      <c r="P44" s="30">
        <f t="shared" si="9"/>
        <v>0</v>
      </c>
      <c r="Q44" s="30">
        <f t="shared" si="10"/>
        <v>1</v>
      </c>
      <c r="R44" s="30">
        <f t="shared" si="11"/>
        <v>0</v>
      </c>
      <c r="S44" s="5">
        <v>1</v>
      </c>
    </row>
    <row r="45" spans="1:19" x14ac:dyDescent="0.25">
      <c r="A45" s="5">
        <v>41</v>
      </c>
      <c r="B45" s="5" t="s">
        <v>184</v>
      </c>
      <c r="C45" s="7">
        <v>40501</v>
      </c>
      <c r="D45" s="5" t="s">
        <v>185</v>
      </c>
      <c r="E45" s="5">
        <f t="shared" si="6"/>
        <v>2010</v>
      </c>
      <c r="F45" s="5">
        <f t="shared" si="7"/>
        <v>4</v>
      </c>
      <c r="G45" s="5">
        <f t="shared" si="8"/>
        <v>8</v>
      </c>
      <c r="H45" s="5" t="s">
        <v>89</v>
      </c>
      <c r="I45" s="5">
        <v>6</v>
      </c>
      <c r="J45" s="5" t="s">
        <v>129</v>
      </c>
      <c r="K45" s="5">
        <v>6</v>
      </c>
      <c r="L45" s="5" t="s">
        <v>91</v>
      </c>
      <c r="M45" s="5">
        <v>2</v>
      </c>
      <c r="N45" s="5" t="s">
        <v>92</v>
      </c>
      <c r="O45" s="5">
        <v>1</v>
      </c>
      <c r="P45" s="30">
        <f t="shared" si="9"/>
        <v>1</v>
      </c>
      <c r="Q45" s="30">
        <f t="shared" si="10"/>
        <v>0</v>
      </c>
      <c r="R45" s="30">
        <f t="shared" si="11"/>
        <v>0</v>
      </c>
      <c r="S45" s="5">
        <v>1</v>
      </c>
    </row>
    <row r="46" spans="1:19" x14ac:dyDescent="0.25">
      <c r="A46" s="5">
        <v>42</v>
      </c>
      <c r="B46" s="5" t="s">
        <v>186</v>
      </c>
      <c r="C46" s="7">
        <v>40509</v>
      </c>
      <c r="D46" s="5" t="s">
        <v>187</v>
      </c>
      <c r="E46" s="5">
        <f t="shared" si="6"/>
        <v>2010</v>
      </c>
      <c r="F46" s="5">
        <f t="shared" si="7"/>
        <v>4</v>
      </c>
      <c r="G46" s="5">
        <f t="shared" si="8"/>
        <v>8</v>
      </c>
      <c r="H46" s="5" t="s">
        <v>89</v>
      </c>
      <c r="I46" s="5">
        <v>7</v>
      </c>
      <c r="J46" s="5" t="s">
        <v>90</v>
      </c>
      <c r="K46" s="5">
        <v>6</v>
      </c>
      <c r="L46" s="5" t="s">
        <v>91</v>
      </c>
      <c r="M46" s="5">
        <v>2</v>
      </c>
      <c r="N46" s="5" t="s">
        <v>92</v>
      </c>
      <c r="O46" s="5">
        <v>10</v>
      </c>
      <c r="P46" s="30">
        <f t="shared" si="9"/>
        <v>1</v>
      </c>
      <c r="Q46" s="30">
        <f t="shared" si="10"/>
        <v>0</v>
      </c>
      <c r="R46" s="30">
        <f t="shared" si="11"/>
        <v>0</v>
      </c>
      <c r="S46" s="5">
        <v>1</v>
      </c>
    </row>
    <row r="47" spans="1:19" x14ac:dyDescent="0.25">
      <c r="A47" s="5">
        <v>43</v>
      </c>
      <c r="B47" s="5" t="s">
        <v>188</v>
      </c>
      <c r="C47" s="7">
        <v>40514</v>
      </c>
      <c r="D47" s="5" t="s">
        <v>189</v>
      </c>
      <c r="E47" s="5">
        <f t="shared" si="6"/>
        <v>2010</v>
      </c>
      <c r="F47" s="5">
        <f t="shared" si="7"/>
        <v>4</v>
      </c>
      <c r="G47" s="5">
        <f t="shared" si="8"/>
        <v>8</v>
      </c>
      <c r="H47" s="5" t="s">
        <v>89</v>
      </c>
      <c r="I47" s="5">
        <v>5</v>
      </c>
      <c r="J47" s="5" t="s">
        <v>163</v>
      </c>
      <c r="K47" s="5">
        <v>6</v>
      </c>
      <c r="L47" s="5" t="s">
        <v>91</v>
      </c>
      <c r="M47" s="5">
        <v>2</v>
      </c>
      <c r="N47" s="5" t="s">
        <v>92</v>
      </c>
      <c r="O47" s="5">
        <v>1</v>
      </c>
      <c r="P47" s="30">
        <f t="shared" si="9"/>
        <v>0</v>
      </c>
      <c r="Q47" s="30">
        <f t="shared" si="10"/>
        <v>0</v>
      </c>
      <c r="R47" s="30">
        <f t="shared" si="11"/>
        <v>0</v>
      </c>
      <c r="S47" s="5">
        <v>1</v>
      </c>
    </row>
    <row r="48" spans="1:19" x14ac:dyDescent="0.25">
      <c r="A48" s="5">
        <v>44</v>
      </c>
      <c r="B48" s="5" t="s">
        <v>190</v>
      </c>
      <c r="C48" s="7">
        <v>40600</v>
      </c>
      <c r="D48" s="5" t="s">
        <v>191</v>
      </c>
      <c r="E48" s="5">
        <f t="shared" si="6"/>
        <v>2011</v>
      </c>
      <c r="F48" s="5">
        <f t="shared" si="7"/>
        <v>1</v>
      </c>
      <c r="G48" s="5">
        <f t="shared" si="8"/>
        <v>9</v>
      </c>
      <c r="H48" s="5" t="s">
        <v>95</v>
      </c>
      <c r="I48" s="5">
        <v>7</v>
      </c>
      <c r="J48" s="5" t="s">
        <v>90</v>
      </c>
      <c r="K48" s="5">
        <v>6</v>
      </c>
      <c r="L48" s="5" t="s">
        <v>91</v>
      </c>
      <c r="M48" s="5">
        <v>2</v>
      </c>
      <c r="N48" s="5" t="s">
        <v>92</v>
      </c>
      <c r="O48" s="5">
        <v>1</v>
      </c>
      <c r="P48" s="30">
        <f t="shared" si="9"/>
        <v>1</v>
      </c>
      <c r="Q48" s="30">
        <f t="shared" si="10"/>
        <v>0</v>
      </c>
      <c r="R48" s="30">
        <f t="shared" si="11"/>
        <v>0</v>
      </c>
      <c r="S48" s="5">
        <v>1</v>
      </c>
    </row>
    <row r="49" spans="1:19" x14ac:dyDescent="0.25">
      <c r="A49" s="5">
        <v>45</v>
      </c>
      <c r="B49" s="5" t="s">
        <v>192</v>
      </c>
      <c r="C49" s="7">
        <v>40633</v>
      </c>
      <c r="D49" s="5" t="s">
        <v>193</v>
      </c>
      <c r="E49" s="5">
        <f t="shared" si="6"/>
        <v>2011</v>
      </c>
      <c r="F49" s="5">
        <f t="shared" si="7"/>
        <v>1</v>
      </c>
      <c r="G49" s="5">
        <f t="shared" si="8"/>
        <v>9</v>
      </c>
      <c r="H49" s="5" t="s">
        <v>103</v>
      </c>
      <c r="I49" s="5">
        <v>5</v>
      </c>
      <c r="J49" s="5" t="s">
        <v>163</v>
      </c>
      <c r="K49" s="5">
        <v>1</v>
      </c>
      <c r="L49" s="5" t="s">
        <v>99</v>
      </c>
      <c r="M49" s="5">
        <v>2</v>
      </c>
      <c r="N49" s="5" t="s">
        <v>92</v>
      </c>
      <c r="O49" s="5">
        <v>6</v>
      </c>
      <c r="P49" s="30">
        <f t="shared" si="9"/>
        <v>0</v>
      </c>
      <c r="Q49" s="30">
        <f t="shared" si="10"/>
        <v>1</v>
      </c>
      <c r="R49" s="30">
        <f t="shared" si="11"/>
        <v>0</v>
      </c>
      <c r="S49" s="5">
        <v>1</v>
      </c>
    </row>
    <row r="50" spans="1:19" x14ac:dyDescent="0.25">
      <c r="A50" s="5">
        <v>46</v>
      </c>
      <c r="B50" s="5" t="s">
        <v>194</v>
      </c>
      <c r="C50" s="7">
        <v>40636</v>
      </c>
      <c r="D50" s="5" t="s">
        <v>195</v>
      </c>
      <c r="E50" s="5">
        <f t="shared" si="6"/>
        <v>2011</v>
      </c>
      <c r="F50" s="5">
        <f t="shared" si="7"/>
        <v>2</v>
      </c>
      <c r="G50" s="5">
        <f t="shared" si="8"/>
        <v>10</v>
      </c>
      <c r="H50" s="5" t="s">
        <v>89</v>
      </c>
      <c r="I50" s="5">
        <v>1</v>
      </c>
      <c r="J50" s="5" t="s">
        <v>126</v>
      </c>
      <c r="K50" s="5">
        <v>1</v>
      </c>
      <c r="L50" s="5" t="s">
        <v>99</v>
      </c>
      <c r="M50" s="5">
        <v>1</v>
      </c>
      <c r="N50" s="5" t="s">
        <v>100</v>
      </c>
      <c r="O50" s="5">
        <v>2</v>
      </c>
      <c r="P50" s="30">
        <f t="shared" si="9"/>
        <v>1</v>
      </c>
      <c r="Q50" s="30">
        <f t="shared" si="10"/>
        <v>1</v>
      </c>
      <c r="R50" s="30">
        <f t="shared" si="11"/>
        <v>1</v>
      </c>
      <c r="S50" s="5">
        <v>1</v>
      </c>
    </row>
    <row r="51" spans="1:19" x14ac:dyDescent="0.25">
      <c r="A51" s="5">
        <v>47</v>
      </c>
      <c r="B51" s="5" t="s">
        <v>196</v>
      </c>
      <c r="C51" s="7">
        <v>40661</v>
      </c>
      <c r="D51" s="5" t="s">
        <v>197</v>
      </c>
      <c r="E51" s="5">
        <f t="shared" si="6"/>
        <v>2011</v>
      </c>
      <c r="F51" s="5">
        <f t="shared" si="7"/>
        <v>2</v>
      </c>
      <c r="G51" s="5">
        <f t="shared" si="8"/>
        <v>10</v>
      </c>
      <c r="H51" s="5" t="s">
        <v>89</v>
      </c>
      <c r="I51" s="5">
        <v>5</v>
      </c>
      <c r="J51" s="5" t="s">
        <v>163</v>
      </c>
      <c r="K51" s="5">
        <v>1</v>
      </c>
      <c r="L51" s="5" t="s">
        <v>99</v>
      </c>
      <c r="M51" s="5">
        <v>1</v>
      </c>
      <c r="N51" s="5" t="s">
        <v>100</v>
      </c>
      <c r="O51" s="5">
        <v>1</v>
      </c>
      <c r="P51" s="30">
        <f t="shared" si="9"/>
        <v>0</v>
      </c>
      <c r="Q51" s="30">
        <f t="shared" si="10"/>
        <v>1</v>
      </c>
      <c r="R51" s="30">
        <f t="shared" si="11"/>
        <v>1</v>
      </c>
      <c r="S51" s="5">
        <v>1</v>
      </c>
    </row>
    <row r="52" spans="1:19" x14ac:dyDescent="0.25">
      <c r="A52" s="5">
        <v>48</v>
      </c>
      <c r="B52" s="5" t="s">
        <v>198</v>
      </c>
      <c r="C52" s="7">
        <v>40665</v>
      </c>
      <c r="D52" s="5" t="s">
        <v>199</v>
      </c>
      <c r="E52" s="5">
        <f t="shared" si="6"/>
        <v>2011</v>
      </c>
      <c r="F52" s="5">
        <f t="shared" si="7"/>
        <v>2</v>
      </c>
      <c r="G52" s="5">
        <f t="shared" si="8"/>
        <v>10</v>
      </c>
      <c r="H52" s="5" t="s">
        <v>89</v>
      </c>
      <c r="I52" s="5">
        <v>2</v>
      </c>
      <c r="J52" s="5" t="s">
        <v>96</v>
      </c>
      <c r="K52" s="5">
        <v>6</v>
      </c>
      <c r="L52" s="5" t="s">
        <v>91</v>
      </c>
      <c r="M52" s="5">
        <v>1</v>
      </c>
      <c r="N52" s="5" t="s">
        <v>100</v>
      </c>
      <c r="O52" s="5">
        <v>5</v>
      </c>
      <c r="P52" s="30">
        <f t="shared" si="9"/>
        <v>0</v>
      </c>
      <c r="Q52" s="30">
        <f t="shared" si="10"/>
        <v>0</v>
      </c>
      <c r="R52" s="30">
        <f t="shared" si="11"/>
        <v>1</v>
      </c>
      <c r="S52" s="5">
        <v>1</v>
      </c>
    </row>
    <row r="53" spans="1:19" x14ac:dyDescent="0.25">
      <c r="A53" s="5">
        <v>49</v>
      </c>
      <c r="B53" s="5" t="s">
        <v>200</v>
      </c>
      <c r="C53" s="7">
        <v>40698</v>
      </c>
      <c r="D53" s="5" t="s">
        <v>201</v>
      </c>
      <c r="E53" s="5">
        <f t="shared" si="6"/>
        <v>2011</v>
      </c>
      <c r="F53" s="5">
        <f t="shared" si="7"/>
        <v>2</v>
      </c>
      <c r="G53" s="5">
        <f t="shared" si="8"/>
        <v>10</v>
      </c>
      <c r="H53" s="5" t="s">
        <v>89</v>
      </c>
      <c r="I53" s="5">
        <v>7</v>
      </c>
      <c r="J53" s="5" t="s">
        <v>90</v>
      </c>
      <c r="K53" s="5">
        <v>1</v>
      </c>
      <c r="L53" s="5" t="s">
        <v>99</v>
      </c>
      <c r="M53" s="5">
        <v>1</v>
      </c>
      <c r="N53" s="5" t="s">
        <v>100</v>
      </c>
      <c r="O53" s="5">
        <v>2</v>
      </c>
      <c r="P53" s="30">
        <f t="shared" si="9"/>
        <v>1</v>
      </c>
      <c r="Q53" s="30">
        <f t="shared" si="10"/>
        <v>1</v>
      </c>
      <c r="R53" s="30">
        <f t="shared" si="11"/>
        <v>1</v>
      </c>
      <c r="S53" s="5">
        <v>1</v>
      </c>
    </row>
    <row r="54" spans="1:19" x14ac:dyDescent="0.25">
      <c r="A54" s="5">
        <v>50</v>
      </c>
      <c r="B54" s="5" t="s">
        <v>202</v>
      </c>
      <c r="C54" s="7">
        <v>40701</v>
      </c>
      <c r="D54" s="5" t="s">
        <v>203</v>
      </c>
      <c r="E54" s="5">
        <f t="shared" si="6"/>
        <v>2011</v>
      </c>
      <c r="F54" s="5">
        <f t="shared" si="7"/>
        <v>2</v>
      </c>
      <c r="G54" s="5">
        <f t="shared" si="8"/>
        <v>10</v>
      </c>
      <c r="H54" s="5" t="s">
        <v>89</v>
      </c>
      <c r="I54" s="5">
        <v>3</v>
      </c>
      <c r="J54" s="5" t="s">
        <v>121</v>
      </c>
      <c r="K54" s="5">
        <v>1</v>
      </c>
      <c r="L54" s="5" t="s">
        <v>99</v>
      </c>
      <c r="M54" s="5">
        <v>1</v>
      </c>
      <c r="N54" s="5" t="s">
        <v>100</v>
      </c>
      <c r="O54" s="5">
        <v>1</v>
      </c>
      <c r="P54" s="30">
        <f t="shared" si="9"/>
        <v>0</v>
      </c>
      <c r="Q54" s="30">
        <f t="shared" si="10"/>
        <v>1</v>
      </c>
      <c r="R54" s="30">
        <f t="shared" si="11"/>
        <v>1</v>
      </c>
      <c r="S54" s="5">
        <v>1</v>
      </c>
    </row>
    <row r="55" spans="1:19" x14ac:dyDescent="0.25">
      <c r="A55" s="5">
        <v>51</v>
      </c>
      <c r="B55" s="5" t="s">
        <v>204</v>
      </c>
      <c r="C55" s="7">
        <v>40729</v>
      </c>
      <c r="D55" s="5" t="s">
        <v>205</v>
      </c>
      <c r="E55" s="5">
        <f t="shared" si="6"/>
        <v>2011</v>
      </c>
      <c r="F55" s="5">
        <f t="shared" si="7"/>
        <v>3</v>
      </c>
      <c r="G55" s="5">
        <f t="shared" si="8"/>
        <v>11</v>
      </c>
      <c r="H55" s="5" t="s">
        <v>89</v>
      </c>
      <c r="I55" s="5">
        <v>3</v>
      </c>
      <c r="J55" s="5" t="s">
        <v>121</v>
      </c>
      <c r="K55" s="5">
        <v>1</v>
      </c>
      <c r="L55" s="5" t="s">
        <v>99</v>
      </c>
      <c r="M55" s="5">
        <v>2</v>
      </c>
      <c r="N55" s="5" t="s">
        <v>92</v>
      </c>
      <c r="O55" s="5">
        <v>1</v>
      </c>
      <c r="P55" s="30">
        <f t="shared" si="9"/>
        <v>0</v>
      </c>
      <c r="Q55" s="30">
        <f t="shared" si="10"/>
        <v>1</v>
      </c>
      <c r="R55" s="30">
        <f t="shared" si="11"/>
        <v>0</v>
      </c>
      <c r="S55" s="5">
        <v>1</v>
      </c>
    </row>
    <row r="56" spans="1:19" x14ac:dyDescent="0.25">
      <c r="A56" s="5">
        <v>52</v>
      </c>
      <c r="B56" s="5" t="s">
        <v>206</v>
      </c>
      <c r="C56" s="7">
        <v>40730</v>
      </c>
      <c r="D56" s="5" t="s">
        <v>207</v>
      </c>
      <c r="E56" s="5">
        <f t="shared" si="6"/>
        <v>2011</v>
      </c>
      <c r="F56" s="5">
        <f t="shared" si="7"/>
        <v>3</v>
      </c>
      <c r="G56" s="5">
        <f t="shared" si="8"/>
        <v>11</v>
      </c>
      <c r="H56" s="5" t="s">
        <v>89</v>
      </c>
      <c r="I56" s="5">
        <v>4</v>
      </c>
      <c r="J56" s="5" t="s">
        <v>104</v>
      </c>
      <c r="K56" s="5">
        <v>1</v>
      </c>
      <c r="L56" s="5" t="s">
        <v>99</v>
      </c>
      <c r="M56" s="5">
        <v>2</v>
      </c>
      <c r="N56" s="5" t="s">
        <v>92</v>
      </c>
      <c r="O56" s="5">
        <v>2</v>
      </c>
      <c r="P56" s="30">
        <f t="shared" si="9"/>
        <v>0</v>
      </c>
      <c r="Q56" s="30">
        <f t="shared" si="10"/>
        <v>1</v>
      </c>
      <c r="R56" s="30">
        <f t="shared" si="11"/>
        <v>0</v>
      </c>
      <c r="S56" s="5">
        <v>1</v>
      </c>
    </row>
    <row r="57" spans="1:19" x14ac:dyDescent="0.25">
      <c r="A57" s="5">
        <v>53</v>
      </c>
      <c r="B57" s="5" t="s">
        <v>208</v>
      </c>
      <c r="C57" s="7">
        <v>40742</v>
      </c>
      <c r="D57" s="5" t="s">
        <v>209</v>
      </c>
      <c r="E57" s="5">
        <f t="shared" si="6"/>
        <v>2011</v>
      </c>
      <c r="F57" s="5">
        <f t="shared" si="7"/>
        <v>3</v>
      </c>
      <c r="G57" s="5">
        <f t="shared" si="8"/>
        <v>11</v>
      </c>
      <c r="H57" s="5" t="s">
        <v>89</v>
      </c>
      <c r="I57" s="5">
        <v>2</v>
      </c>
      <c r="J57" s="5" t="s">
        <v>96</v>
      </c>
      <c r="K57" s="5">
        <v>1</v>
      </c>
      <c r="L57" s="5" t="s">
        <v>99</v>
      </c>
      <c r="M57" s="5">
        <v>2</v>
      </c>
      <c r="N57" s="5" t="s">
        <v>92</v>
      </c>
      <c r="O57" s="5">
        <v>2</v>
      </c>
      <c r="P57" s="30">
        <f t="shared" si="9"/>
        <v>0</v>
      </c>
      <c r="Q57" s="30">
        <f t="shared" si="10"/>
        <v>1</v>
      </c>
      <c r="R57" s="30">
        <f t="shared" si="11"/>
        <v>0</v>
      </c>
      <c r="S57" s="5">
        <v>1</v>
      </c>
    </row>
    <row r="58" spans="1:19" x14ac:dyDescent="0.25">
      <c r="A58" s="5">
        <v>54</v>
      </c>
      <c r="B58" s="5" t="s">
        <v>210</v>
      </c>
      <c r="C58" s="7">
        <v>40754</v>
      </c>
      <c r="D58" s="5" t="s">
        <v>211</v>
      </c>
      <c r="E58" s="5">
        <f t="shared" si="6"/>
        <v>2011</v>
      </c>
      <c r="F58" s="5">
        <f t="shared" si="7"/>
        <v>3</v>
      </c>
      <c r="G58" s="5">
        <f t="shared" si="8"/>
        <v>11</v>
      </c>
      <c r="H58" s="5" t="s">
        <v>89</v>
      </c>
      <c r="I58" s="5">
        <v>7</v>
      </c>
      <c r="J58" s="5" t="s">
        <v>90</v>
      </c>
      <c r="K58" s="5">
        <v>1</v>
      </c>
      <c r="L58" s="5" t="s">
        <v>99</v>
      </c>
      <c r="M58" s="5">
        <v>1</v>
      </c>
      <c r="N58" s="5" t="s">
        <v>100</v>
      </c>
      <c r="O58" s="5">
        <v>8</v>
      </c>
      <c r="P58" s="30">
        <f t="shared" si="9"/>
        <v>1</v>
      </c>
      <c r="Q58" s="30">
        <f t="shared" si="10"/>
        <v>1</v>
      </c>
      <c r="R58" s="30">
        <f t="shared" si="11"/>
        <v>1</v>
      </c>
      <c r="S58" s="5">
        <v>1</v>
      </c>
    </row>
    <row r="59" spans="1:19" x14ac:dyDescent="0.25">
      <c r="A59" s="5">
        <v>55</v>
      </c>
      <c r="B59" s="5" t="s">
        <v>212</v>
      </c>
      <c r="C59" s="7">
        <v>40778</v>
      </c>
      <c r="D59" s="5" t="s">
        <v>213</v>
      </c>
      <c r="E59" s="5">
        <f t="shared" si="6"/>
        <v>2011</v>
      </c>
      <c r="F59" s="5">
        <f t="shared" si="7"/>
        <v>3</v>
      </c>
      <c r="G59" s="5">
        <f t="shared" si="8"/>
        <v>11</v>
      </c>
      <c r="H59" s="5" t="s">
        <v>89</v>
      </c>
      <c r="I59" s="5">
        <v>3</v>
      </c>
      <c r="J59" s="5" t="s">
        <v>121</v>
      </c>
      <c r="K59" s="5">
        <v>1</v>
      </c>
      <c r="L59" s="5" t="s">
        <v>99</v>
      </c>
      <c r="M59" s="5">
        <v>1</v>
      </c>
      <c r="N59" s="5" t="s">
        <v>100</v>
      </c>
      <c r="O59" s="5">
        <v>1</v>
      </c>
      <c r="P59" s="30">
        <f t="shared" si="9"/>
        <v>0</v>
      </c>
      <c r="Q59" s="30">
        <f t="shared" si="10"/>
        <v>1</v>
      </c>
      <c r="R59" s="30">
        <f t="shared" si="11"/>
        <v>1</v>
      </c>
      <c r="S59" s="5">
        <v>1</v>
      </c>
    </row>
    <row r="60" spans="1:19" x14ac:dyDescent="0.25">
      <c r="A60" s="5">
        <v>56</v>
      </c>
      <c r="B60" s="5" t="s">
        <v>214</v>
      </c>
      <c r="C60" s="7">
        <v>40831</v>
      </c>
      <c r="D60" s="5" t="s">
        <v>215</v>
      </c>
      <c r="E60" s="5">
        <f t="shared" si="6"/>
        <v>2011</v>
      </c>
      <c r="F60" s="5">
        <f t="shared" si="7"/>
        <v>4</v>
      </c>
      <c r="G60" s="5">
        <f t="shared" si="8"/>
        <v>12</v>
      </c>
      <c r="H60" s="5" t="s">
        <v>89</v>
      </c>
      <c r="I60" s="5">
        <v>7</v>
      </c>
      <c r="J60" s="5" t="s">
        <v>90</v>
      </c>
      <c r="K60" s="5">
        <v>1</v>
      </c>
      <c r="L60" s="5" t="s">
        <v>99</v>
      </c>
      <c r="M60" s="5">
        <v>1</v>
      </c>
      <c r="N60" s="5" t="s">
        <v>100</v>
      </c>
      <c r="O60" s="5">
        <v>2</v>
      </c>
      <c r="P60" s="30">
        <f t="shared" si="9"/>
        <v>1</v>
      </c>
      <c r="Q60" s="30">
        <f t="shared" si="10"/>
        <v>1</v>
      </c>
      <c r="R60" s="30">
        <f t="shared" si="11"/>
        <v>1</v>
      </c>
      <c r="S60" s="5">
        <v>1</v>
      </c>
    </row>
    <row r="61" spans="1:19" x14ac:dyDescent="0.25">
      <c r="A61" s="5">
        <v>57</v>
      </c>
      <c r="B61" s="5" t="s">
        <v>216</v>
      </c>
      <c r="C61" s="7">
        <v>40860</v>
      </c>
      <c r="D61" s="5" t="s">
        <v>217</v>
      </c>
      <c r="E61" s="5">
        <f t="shared" si="6"/>
        <v>2011</v>
      </c>
      <c r="F61" s="5">
        <f t="shared" si="7"/>
        <v>4</v>
      </c>
      <c r="G61" s="5">
        <f t="shared" si="8"/>
        <v>12</v>
      </c>
      <c r="H61" s="5" t="s">
        <v>103</v>
      </c>
      <c r="I61" s="5">
        <v>1</v>
      </c>
      <c r="J61" s="5" t="s">
        <v>126</v>
      </c>
      <c r="K61" s="5">
        <v>6</v>
      </c>
      <c r="L61" s="5" t="s">
        <v>91</v>
      </c>
      <c r="M61" s="5">
        <v>1</v>
      </c>
      <c r="N61" s="5" t="s">
        <v>100</v>
      </c>
      <c r="O61" s="5">
        <v>1</v>
      </c>
      <c r="P61" s="30">
        <f t="shared" si="9"/>
        <v>1</v>
      </c>
      <c r="Q61" s="30">
        <f t="shared" si="10"/>
        <v>0</v>
      </c>
      <c r="R61" s="30">
        <f t="shared" si="11"/>
        <v>1</v>
      </c>
      <c r="S61" s="5">
        <v>1</v>
      </c>
    </row>
    <row r="62" spans="1:19" x14ac:dyDescent="0.25">
      <c r="A62" s="5">
        <v>58</v>
      </c>
      <c r="B62" s="5" t="s">
        <v>218</v>
      </c>
      <c r="C62" s="7">
        <v>40866</v>
      </c>
      <c r="D62" s="5" t="s">
        <v>219</v>
      </c>
      <c r="E62" s="5">
        <f t="shared" si="6"/>
        <v>2011</v>
      </c>
      <c r="F62" s="5">
        <f t="shared" si="7"/>
        <v>4</v>
      </c>
      <c r="G62" s="5">
        <f t="shared" si="8"/>
        <v>12</v>
      </c>
      <c r="H62" s="5" t="s">
        <v>103</v>
      </c>
      <c r="I62" s="5">
        <v>7</v>
      </c>
      <c r="J62" s="5" t="s">
        <v>90</v>
      </c>
      <c r="K62" s="5">
        <v>6</v>
      </c>
      <c r="L62" s="5" t="s">
        <v>91</v>
      </c>
      <c r="M62" s="5">
        <v>2</v>
      </c>
      <c r="N62" s="5" t="s">
        <v>92</v>
      </c>
      <c r="O62" s="5">
        <v>1</v>
      </c>
      <c r="P62" s="30">
        <f t="shared" si="9"/>
        <v>1</v>
      </c>
      <c r="Q62" s="30">
        <f t="shared" si="10"/>
        <v>0</v>
      </c>
      <c r="R62" s="30">
        <f t="shared" si="11"/>
        <v>0</v>
      </c>
      <c r="S62" s="5">
        <v>1</v>
      </c>
    </row>
    <row r="63" spans="1:19" x14ac:dyDescent="0.25">
      <c r="A63" s="5">
        <v>59</v>
      </c>
      <c r="B63" s="5" t="s">
        <v>220</v>
      </c>
      <c r="C63" s="7">
        <v>40893</v>
      </c>
      <c r="D63" s="5" t="s">
        <v>221</v>
      </c>
      <c r="E63" s="5">
        <f t="shared" si="6"/>
        <v>2011</v>
      </c>
      <c r="F63" s="5">
        <f t="shared" si="7"/>
        <v>4</v>
      </c>
      <c r="G63" s="5">
        <f t="shared" si="8"/>
        <v>12</v>
      </c>
      <c r="H63" s="5" t="s">
        <v>89</v>
      </c>
      <c r="I63" s="5">
        <v>6</v>
      </c>
      <c r="J63" s="5" t="s">
        <v>129</v>
      </c>
      <c r="K63" s="5">
        <v>6</v>
      </c>
      <c r="L63" s="5" t="s">
        <v>91</v>
      </c>
      <c r="M63" s="5">
        <v>2</v>
      </c>
      <c r="N63" s="5" t="s">
        <v>92</v>
      </c>
      <c r="O63" s="5">
        <v>1</v>
      </c>
      <c r="P63" s="30">
        <f t="shared" si="9"/>
        <v>1</v>
      </c>
      <c r="Q63" s="30">
        <f t="shared" si="10"/>
        <v>0</v>
      </c>
      <c r="R63" s="30">
        <f t="shared" si="11"/>
        <v>0</v>
      </c>
      <c r="S63" s="5">
        <v>1</v>
      </c>
    </row>
    <row r="64" spans="1:19" x14ac:dyDescent="0.25">
      <c r="A64" s="5">
        <v>60</v>
      </c>
      <c r="B64" s="5" t="s">
        <v>222</v>
      </c>
      <c r="C64" s="7">
        <v>40898</v>
      </c>
      <c r="D64" s="5" t="s">
        <v>223</v>
      </c>
      <c r="E64" s="5">
        <f t="shared" si="6"/>
        <v>2011</v>
      </c>
      <c r="F64" s="5">
        <f t="shared" si="7"/>
        <v>4</v>
      </c>
      <c r="G64" s="5">
        <f t="shared" si="8"/>
        <v>12</v>
      </c>
      <c r="H64" s="5" t="s">
        <v>89</v>
      </c>
      <c r="I64" s="5">
        <v>4</v>
      </c>
      <c r="J64" s="5" t="s">
        <v>104</v>
      </c>
      <c r="K64" s="5">
        <v>6</v>
      </c>
      <c r="L64" s="5" t="s">
        <v>91</v>
      </c>
      <c r="M64" s="5">
        <v>1</v>
      </c>
      <c r="N64" s="5" t="s">
        <v>100</v>
      </c>
      <c r="O64" s="5">
        <v>1</v>
      </c>
      <c r="P64" s="30">
        <f t="shared" si="9"/>
        <v>0</v>
      </c>
      <c r="Q64" s="30">
        <f t="shared" si="10"/>
        <v>0</v>
      </c>
      <c r="R64" s="30">
        <f t="shared" si="11"/>
        <v>1</v>
      </c>
      <c r="S64" s="5">
        <v>1</v>
      </c>
    </row>
    <row r="65" spans="1:19" x14ac:dyDescent="0.25">
      <c r="A65" s="5">
        <v>61</v>
      </c>
      <c r="B65" s="5" t="s">
        <v>224</v>
      </c>
      <c r="C65" s="7">
        <v>40923</v>
      </c>
      <c r="D65" s="5" t="s">
        <v>225</v>
      </c>
      <c r="E65" s="5">
        <f t="shared" si="6"/>
        <v>2012</v>
      </c>
      <c r="F65" s="5">
        <f t="shared" si="7"/>
        <v>1</v>
      </c>
      <c r="G65" s="5">
        <f t="shared" si="8"/>
        <v>13</v>
      </c>
      <c r="H65" s="5" t="s">
        <v>95</v>
      </c>
      <c r="I65" s="5">
        <v>1</v>
      </c>
      <c r="J65" s="5" t="s">
        <v>126</v>
      </c>
      <c r="K65" s="5">
        <v>6</v>
      </c>
      <c r="L65" s="5" t="s">
        <v>91</v>
      </c>
      <c r="M65" s="5">
        <v>2</v>
      </c>
      <c r="N65" s="5" t="s">
        <v>92</v>
      </c>
      <c r="O65" s="5">
        <v>1</v>
      </c>
      <c r="P65" s="30">
        <f t="shared" si="9"/>
        <v>1</v>
      </c>
      <c r="Q65" s="30">
        <f t="shared" si="10"/>
        <v>0</v>
      </c>
      <c r="R65" s="30">
        <f t="shared" si="11"/>
        <v>0</v>
      </c>
      <c r="S65" s="5">
        <v>1</v>
      </c>
    </row>
    <row r="66" spans="1:19" x14ac:dyDescent="0.25">
      <c r="A66" s="5">
        <v>62</v>
      </c>
      <c r="B66" s="5" t="s">
        <v>226</v>
      </c>
      <c r="C66" s="7">
        <v>40936</v>
      </c>
      <c r="D66" s="5" t="s">
        <v>227</v>
      </c>
      <c r="E66" s="5">
        <f t="shared" si="6"/>
        <v>2012</v>
      </c>
      <c r="F66" s="5">
        <f t="shared" si="7"/>
        <v>1</v>
      </c>
      <c r="G66" s="5">
        <f t="shared" si="8"/>
        <v>13</v>
      </c>
      <c r="H66" s="5" t="s">
        <v>89</v>
      </c>
      <c r="I66" s="5">
        <v>7</v>
      </c>
      <c r="J66" s="5" t="s">
        <v>90</v>
      </c>
      <c r="K66" s="5">
        <v>6</v>
      </c>
      <c r="L66" s="5" t="s">
        <v>91</v>
      </c>
      <c r="M66" s="5">
        <v>2</v>
      </c>
      <c r="N66" s="5" t="s">
        <v>92</v>
      </c>
      <c r="O66" s="5">
        <v>2</v>
      </c>
      <c r="P66" s="30">
        <f t="shared" si="9"/>
        <v>1</v>
      </c>
      <c r="Q66" s="30">
        <f t="shared" si="10"/>
        <v>0</v>
      </c>
      <c r="R66" s="30">
        <f t="shared" si="11"/>
        <v>0</v>
      </c>
      <c r="S66" s="5">
        <v>1</v>
      </c>
    </row>
    <row r="67" spans="1:19" x14ac:dyDescent="0.25">
      <c r="A67" s="5">
        <v>63</v>
      </c>
      <c r="B67" s="5" t="s">
        <v>228</v>
      </c>
      <c r="C67" s="7">
        <v>40971</v>
      </c>
      <c r="D67" s="5" t="s">
        <v>229</v>
      </c>
      <c r="E67" s="5">
        <f t="shared" si="6"/>
        <v>2012</v>
      </c>
      <c r="F67" s="5">
        <f t="shared" si="7"/>
        <v>1</v>
      </c>
      <c r="G67" s="5">
        <f t="shared" si="8"/>
        <v>13</v>
      </c>
      <c r="H67" s="5" t="s">
        <v>103</v>
      </c>
      <c r="I67" s="5">
        <v>7</v>
      </c>
      <c r="J67" s="5" t="s">
        <v>90</v>
      </c>
      <c r="K67" s="5">
        <v>1</v>
      </c>
      <c r="L67" s="5" t="s">
        <v>99</v>
      </c>
      <c r="M67" s="5">
        <v>1</v>
      </c>
      <c r="N67" s="5" t="s">
        <v>100</v>
      </c>
      <c r="O67" s="5">
        <v>1</v>
      </c>
      <c r="P67" s="30">
        <f t="shared" si="9"/>
        <v>1</v>
      </c>
      <c r="Q67" s="30">
        <f t="shared" si="10"/>
        <v>1</v>
      </c>
      <c r="R67" s="30">
        <f t="shared" si="11"/>
        <v>1</v>
      </c>
      <c r="S67" s="5">
        <v>1</v>
      </c>
    </row>
    <row r="68" spans="1:19" x14ac:dyDescent="0.25">
      <c r="A68" s="5">
        <v>64</v>
      </c>
      <c r="B68" s="5" t="s">
        <v>230</v>
      </c>
      <c r="C68" s="7">
        <v>40999</v>
      </c>
      <c r="D68" s="5" t="s">
        <v>231</v>
      </c>
      <c r="E68" s="5">
        <f t="shared" si="6"/>
        <v>2012</v>
      </c>
      <c r="F68" s="5">
        <f t="shared" si="7"/>
        <v>1</v>
      </c>
      <c r="G68" s="5">
        <f t="shared" si="8"/>
        <v>13</v>
      </c>
      <c r="H68" s="5" t="s">
        <v>89</v>
      </c>
      <c r="I68" s="5">
        <v>7</v>
      </c>
      <c r="J68" s="5" t="s">
        <v>90</v>
      </c>
      <c r="K68" s="5">
        <v>1</v>
      </c>
      <c r="L68" s="5" t="s">
        <v>99</v>
      </c>
      <c r="M68" s="5">
        <v>1</v>
      </c>
      <c r="N68" s="5" t="s">
        <v>100</v>
      </c>
      <c r="O68" s="5">
        <v>3</v>
      </c>
      <c r="P68" s="30">
        <f t="shared" si="9"/>
        <v>1</v>
      </c>
      <c r="Q68" s="30">
        <f t="shared" si="10"/>
        <v>1</v>
      </c>
      <c r="R68" s="30">
        <f t="shared" si="11"/>
        <v>1</v>
      </c>
      <c r="S68" s="5">
        <v>1</v>
      </c>
    </row>
    <row r="69" spans="1:19" x14ac:dyDescent="0.25">
      <c r="A69" s="5">
        <v>65</v>
      </c>
      <c r="B69" s="5" t="s">
        <v>232</v>
      </c>
      <c r="C69" s="7">
        <v>41051</v>
      </c>
      <c r="D69" s="5" t="s">
        <v>233</v>
      </c>
      <c r="E69" s="5">
        <f t="shared" ref="E69:E100" si="12">YEAR(C69)</f>
        <v>2012</v>
      </c>
      <c r="F69" s="5">
        <f t="shared" ref="F69:F100" si="13">ROUNDUP(MONTH(C69)/3,0)</f>
        <v>2</v>
      </c>
      <c r="G69" s="5">
        <f t="shared" ref="G69:G100" si="14">(E69-2009)*4+F69</f>
        <v>14</v>
      </c>
      <c r="H69" s="5" t="s">
        <v>95</v>
      </c>
      <c r="I69" s="5">
        <v>3</v>
      </c>
      <c r="J69" s="5" t="s">
        <v>121</v>
      </c>
      <c r="K69" s="5">
        <v>1</v>
      </c>
      <c r="L69" s="5" t="s">
        <v>99</v>
      </c>
      <c r="M69" s="5">
        <v>1</v>
      </c>
      <c r="N69" s="5" t="s">
        <v>100</v>
      </c>
      <c r="O69" s="5">
        <v>1</v>
      </c>
      <c r="P69" s="30">
        <f t="shared" ref="P69:P100" si="15">IF(OR(I69=1,I69=6,I69=7),1,0)</f>
        <v>0</v>
      </c>
      <c r="Q69" s="30">
        <f t="shared" ref="Q69:Q100" si="16">IF(K69=1,1,0)</f>
        <v>1</v>
      </c>
      <c r="R69" s="30">
        <f t="shared" ref="R69:R100" si="17">IF(M69=1,1,0)</f>
        <v>1</v>
      </c>
      <c r="S69" s="5">
        <v>1</v>
      </c>
    </row>
    <row r="70" spans="1:19" x14ac:dyDescent="0.25">
      <c r="A70" s="5">
        <v>66</v>
      </c>
      <c r="B70" s="5" t="s">
        <v>234</v>
      </c>
      <c r="C70" s="7">
        <v>41052</v>
      </c>
      <c r="D70" s="5" t="s">
        <v>235</v>
      </c>
      <c r="E70" s="5">
        <f t="shared" si="12"/>
        <v>2012</v>
      </c>
      <c r="F70" s="5">
        <f t="shared" si="13"/>
        <v>2</v>
      </c>
      <c r="G70" s="5">
        <f t="shared" si="14"/>
        <v>14</v>
      </c>
      <c r="H70" s="5" t="s">
        <v>89</v>
      </c>
      <c r="I70" s="5">
        <v>4</v>
      </c>
      <c r="J70" s="5" t="s">
        <v>104</v>
      </c>
      <c r="K70" s="5">
        <v>1</v>
      </c>
      <c r="L70" s="5" t="s">
        <v>99</v>
      </c>
      <c r="M70" s="5">
        <v>1</v>
      </c>
      <c r="N70" s="5" t="s">
        <v>100</v>
      </c>
      <c r="O70" s="5">
        <v>3</v>
      </c>
      <c r="P70" s="30">
        <f t="shared" si="15"/>
        <v>0</v>
      </c>
      <c r="Q70" s="30">
        <f t="shared" si="16"/>
        <v>1</v>
      </c>
      <c r="R70" s="30">
        <f t="shared" si="17"/>
        <v>1</v>
      </c>
      <c r="S70" s="5">
        <v>1</v>
      </c>
    </row>
    <row r="71" spans="1:19" x14ac:dyDescent="0.25">
      <c r="A71" s="5">
        <v>67</v>
      </c>
      <c r="B71" s="5" t="s">
        <v>236</v>
      </c>
      <c r="C71" s="7">
        <v>41070</v>
      </c>
      <c r="D71" s="5" t="s">
        <v>237</v>
      </c>
      <c r="E71" s="5">
        <f t="shared" si="12"/>
        <v>2012</v>
      </c>
      <c r="F71" s="5">
        <f t="shared" si="13"/>
        <v>2</v>
      </c>
      <c r="G71" s="5">
        <f t="shared" si="14"/>
        <v>14</v>
      </c>
      <c r="H71" s="5" t="s">
        <v>103</v>
      </c>
      <c r="I71" s="5">
        <v>1</v>
      </c>
      <c r="J71" s="5" t="s">
        <v>126</v>
      </c>
      <c r="K71" s="5">
        <v>1</v>
      </c>
      <c r="L71" s="5" t="s">
        <v>99</v>
      </c>
      <c r="M71" s="5">
        <v>2</v>
      </c>
      <c r="N71" s="5" t="s">
        <v>92</v>
      </c>
      <c r="O71" s="5">
        <v>2</v>
      </c>
      <c r="P71" s="30">
        <f t="shared" si="15"/>
        <v>1</v>
      </c>
      <c r="Q71" s="30">
        <f t="shared" si="16"/>
        <v>1</v>
      </c>
      <c r="R71" s="30">
        <f t="shared" si="17"/>
        <v>0</v>
      </c>
      <c r="S71" s="5">
        <v>1</v>
      </c>
    </row>
    <row r="72" spans="1:19" x14ac:dyDescent="0.25">
      <c r="A72" s="5">
        <v>68</v>
      </c>
      <c r="B72" s="5" t="s">
        <v>238</v>
      </c>
      <c r="C72" s="7">
        <v>41084</v>
      </c>
      <c r="D72" s="5" t="s">
        <v>239</v>
      </c>
      <c r="E72" s="5">
        <f t="shared" si="12"/>
        <v>2012</v>
      </c>
      <c r="F72" s="5">
        <f t="shared" si="13"/>
        <v>2</v>
      </c>
      <c r="G72" s="5">
        <f t="shared" si="14"/>
        <v>14</v>
      </c>
      <c r="H72" s="5" t="s">
        <v>89</v>
      </c>
      <c r="I72" s="5">
        <v>1</v>
      </c>
      <c r="J72" s="5" t="s">
        <v>126</v>
      </c>
      <c r="K72" s="5">
        <v>1</v>
      </c>
      <c r="L72" s="5" t="s">
        <v>99</v>
      </c>
      <c r="M72" s="5">
        <v>1</v>
      </c>
      <c r="N72" s="5" t="s">
        <v>100</v>
      </c>
      <c r="O72" s="5">
        <v>5</v>
      </c>
      <c r="P72" s="30">
        <f t="shared" si="15"/>
        <v>1</v>
      </c>
      <c r="Q72" s="30">
        <f t="shared" si="16"/>
        <v>1</v>
      </c>
      <c r="R72" s="30">
        <f t="shared" si="17"/>
        <v>1</v>
      </c>
      <c r="S72" s="5">
        <v>1</v>
      </c>
    </row>
    <row r="73" spans="1:19" x14ac:dyDescent="0.25">
      <c r="A73" s="5">
        <v>69</v>
      </c>
      <c r="B73" s="5" t="s">
        <v>240</v>
      </c>
      <c r="C73" s="7">
        <v>41148</v>
      </c>
      <c r="D73" s="5" t="s">
        <v>241</v>
      </c>
      <c r="E73" s="5">
        <f t="shared" si="12"/>
        <v>2012</v>
      </c>
      <c r="F73" s="5">
        <f t="shared" si="13"/>
        <v>3</v>
      </c>
      <c r="G73" s="5">
        <f t="shared" si="14"/>
        <v>15</v>
      </c>
      <c r="H73" s="5" t="s">
        <v>89</v>
      </c>
      <c r="I73" s="5">
        <v>2</v>
      </c>
      <c r="J73" s="5" t="s">
        <v>96</v>
      </c>
      <c r="K73" s="5">
        <v>6</v>
      </c>
      <c r="L73" s="5" t="s">
        <v>91</v>
      </c>
      <c r="M73" s="5">
        <v>2</v>
      </c>
      <c r="N73" s="5" t="s">
        <v>92</v>
      </c>
      <c r="O73" s="5">
        <v>2</v>
      </c>
      <c r="P73" s="30">
        <f t="shared" si="15"/>
        <v>0</v>
      </c>
      <c r="Q73" s="30">
        <f t="shared" si="16"/>
        <v>0</v>
      </c>
      <c r="R73" s="30">
        <f t="shared" si="17"/>
        <v>0</v>
      </c>
      <c r="S73" s="5">
        <v>1</v>
      </c>
    </row>
    <row r="74" spans="1:19" x14ac:dyDescent="0.25">
      <c r="A74" s="5">
        <v>70</v>
      </c>
      <c r="B74" s="5" t="s">
        <v>242</v>
      </c>
      <c r="C74" s="7">
        <v>41152</v>
      </c>
      <c r="D74" s="5" t="s">
        <v>243</v>
      </c>
      <c r="E74" s="5">
        <f t="shared" si="12"/>
        <v>2012</v>
      </c>
      <c r="F74" s="5">
        <f t="shared" si="13"/>
        <v>3</v>
      </c>
      <c r="G74" s="5">
        <f t="shared" si="14"/>
        <v>15</v>
      </c>
      <c r="H74" s="5" t="s">
        <v>89</v>
      </c>
      <c r="I74" s="5">
        <v>6</v>
      </c>
      <c r="J74" s="5" t="s">
        <v>129</v>
      </c>
      <c r="K74" s="5">
        <v>1</v>
      </c>
      <c r="L74" s="5" t="s">
        <v>99</v>
      </c>
      <c r="M74" s="5">
        <v>1</v>
      </c>
      <c r="N74" s="5" t="s">
        <v>100</v>
      </c>
      <c r="O74" s="5">
        <v>5</v>
      </c>
      <c r="P74" s="30">
        <f t="shared" si="15"/>
        <v>1</v>
      </c>
      <c r="Q74" s="30">
        <f t="shared" si="16"/>
        <v>1</v>
      </c>
      <c r="R74" s="30">
        <f t="shared" si="17"/>
        <v>1</v>
      </c>
      <c r="S74" s="5">
        <v>1</v>
      </c>
    </row>
    <row r="75" spans="1:19" x14ac:dyDescent="0.25">
      <c r="A75" s="5">
        <v>71</v>
      </c>
      <c r="B75" s="5" t="s">
        <v>244</v>
      </c>
      <c r="C75" s="7">
        <v>41158</v>
      </c>
      <c r="D75" s="5" t="s">
        <v>245</v>
      </c>
      <c r="E75" s="5">
        <f t="shared" si="12"/>
        <v>2012</v>
      </c>
      <c r="F75" s="5">
        <f t="shared" si="13"/>
        <v>3</v>
      </c>
      <c r="G75" s="5">
        <f t="shared" si="14"/>
        <v>15</v>
      </c>
      <c r="H75" s="5" t="s">
        <v>89</v>
      </c>
      <c r="I75" s="5">
        <v>5</v>
      </c>
      <c r="J75" s="5" t="s">
        <v>163</v>
      </c>
      <c r="K75" s="5">
        <v>1</v>
      </c>
      <c r="L75" s="5" t="s">
        <v>99</v>
      </c>
      <c r="M75" s="5">
        <v>1</v>
      </c>
      <c r="N75" s="5" t="s">
        <v>100</v>
      </c>
      <c r="O75" s="5">
        <v>1</v>
      </c>
      <c r="P75" s="30">
        <f t="shared" si="15"/>
        <v>0</v>
      </c>
      <c r="Q75" s="30">
        <f t="shared" si="16"/>
        <v>1</v>
      </c>
      <c r="R75" s="30">
        <f t="shared" si="17"/>
        <v>1</v>
      </c>
      <c r="S75" s="5">
        <v>1</v>
      </c>
    </row>
    <row r="76" spans="1:19" x14ac:dyDescent="0.25">
      <c r="A76" s="5">
        <v>72</v>
      </c>
      <c r="B76" s="5" t="s">
        <v>246</v>
      </c>
      <c r="C76" s="7">
        <v>41163</v>
      </c>
      <c r="D76" s="5" t="s">
        <v>247</v>
      </c>
      <c r="E76" s="5">
        <f t="shared" si="12"/>
        <v>2012</v>
      </c>
      <c r="F76" s="5">
        <f t="shared" si="13"/>
        <v>3</v>
      </c>
      <c r="G76" s="5">
        <f t="shared" si="14"/>
        <v>15</v>
      </c>
      <c r="H76" s="5" t="s">
        <v>89</v>
      </c>
      <c r="I76" s="5">
        <v>3</v>
      </c>
      <c r="J76" s="5" t="s">
        <v>121</v>
      </c>
      <c r="K76" s="5">
        <v>1</v>
      </c>
      <c r="L76" s="5" t="s">
        <v>99</v>
      </c>
      <c r="M76" s="5">
        <v>1</v>
      </c>
      <c r="N76" s="5" t="s">
        <v>100</v>
      </c>
      <c r="O76" s="5">
        <v>1</v>
      </c>
      <c r="P76" s="30">
        <f t="shared" si="15"/>
        <v>0</v>
      </c>
      <c r="Q76" s="30">
        <f t="shared" si="16"/>
        <v>1</v>
      </c>
      <c r="R76" s="30">
        <f t="shared" si="17"/>
        <v>1</v>
      </c>
      <c r="S76" s="5">
        <v>1</v>
      </c>
    </row>
    <row r="77" spans="1:19" x14ac:dyDescent="0.25">
      <c r="A77" s="5">
        <v>73</v>
      </c>
      <c r="B77" s="5" t="s">
        <v>248</v>
      </c>
      <c r="C77" s="7">
        <v>41167</v>
      </c>
      <c r="D77" s="5" t="s">
        <v>249</v>
      </c>
      <c r="E77" s="5">
        <f t="shared" si="12"/>
        <v>2012</v>
      </c>
      <c r="F77" s="5">
        <f t="shared" si="13"/>
        <v>3</v>
      </c>
      <c r="G77" s="5">
        <f t="shared" si="14"/>
        <v>15</v>
      </c>
      <c r="H77" s="5" t="s">
        <v>89</v>
      </c>
      <c r="I77" s="5">
        <v>7</v>
      </c>
      <c r="J77" s="5" t="s">
        <v>90</v>
      </c>
      <c r="K77" s="5">
        <v>1</v>
      </c>
      <c r="L77" s="5" t="s">
        <v>99</v>
      </c>
      <c r="M77" s="5">
        <v>1</v>
      </c>
      <c r="N77" s="5" t="s">
        <v>100</v>
      </c>
      <c r="O77" s="5">
        <v>1</v>
      </c>
      <c r="P77" s="30">
        <f t="shared" si="15"/>
        <v>1</v>
      </c>
      <c r="Q77" s="30">
        <f t="shared" si="16"/>
        <v>1</v>
      </c>
      <c r="R77" s="30">
        <f t="shared" si="17"/>
        <v>1</v>
      </c>
      <c r="S77" s="5">
        <v>1</v>
      </c>
    </row>
    <row r="78" spans="1:19" x14ac:dyDescent="0.25">
      <c r="A78" s="5">
        <v>74</v>
      </c>
      <c r="B78" s="5" t="s">
        <v>250</v>
      </c>
      <c r="C78" s="7">
        <v>41178</v>
      </c>
      <c r="D78" s="5" t="s">
        <v>251</v>
      </c>
      <c r="E78" s="5">
        <f t="shared" si="12"/>
        <v>2012</v>
      </c>
      <c r="F78" s="5">
        <f t="shared" si="13"/>
        <v>3</v>
      </c>
      <c r="G78" s="5">
        <f t="shared" si="14"/>
        <v>15</v>
      </c>
      <c r="H78" s="5" t="s">
        <v>89</v>
      </c>
      <c r="I78" s="5">
        <v>4</v>
      </c>
      <c r="J78" s="5" t="s">
        <v>104</v>
      </c>
      <c r="K78" s="5">
        <v>6</v>
      </c>
      <c r="L78" s="5" t="s">
        <v>91</v>
      </c>
      <c r="M78" s="5">
        <v>2</v>
      </c>
      <c r="N78" s="5" t="s">
        <v>92</v>
      </c>
      <c r="O78" s="5">
        <v>1</v>
      </c>
      <c r="P78" s="30">
        <f t="shared" si="15"/>
        <v>0</v>
      </c>
      <c r="Q78" s="30">
        <f t="shared" si="16"/>
        <v>0</v>
      </c>
      <c r="R78" s="30">
        <f t="shared" si="17"/>
        <v>0</v>
      </c>
      <c r="S78" s="5">
        <v>1</v>
      </c>
    </row>
    <row r="79" spans="1:19" x14ac:dyDescent="0.25">
      <c r="A79" s="5">
        <v>75</v>
      </c>
      <c r="B79" s="5" t="s">
        <v>252</v>
      </c>
      <c r="C79" s="7">
        <v>41187</v>
      </c>
      <c r="D79" s="5" t="s">
        <v>253</v>
      </c>
      <c r="E79" s="5">
        <f t="shared" si="12"/>
        <v>2012</v>
      </c>
      <c r="F79" s="5">
        <f t="shared" si="13"/>
        <v>4</v>
      </c>
      <c r="G79" s="5">
        <f t="shared" si="14"/>
        <v>16</v>
      </c>
      <c r="H79" s="5" t="s">
        <v>89</v>
      </c>
      <c r="I79" s="5">
        <v>6</v>
      </c>
      <c r="J79" s="5" t="s">
        <v>129</v>
      </c>
      <c r="K79" s="5">
        <v>1</v>
      </c>
      <c r="L79" s="5" t="s">
        <v>99</v>
      </c>
      <c r="M79" s="5">
        <v>1</v>
      </c>
      <c r="N79" s="5" t="s">
        <v>100</v>
      </c>
      <c r="O79" s="5">
        <v>1</v>
      </c>
      <c r="P79" s="30">
        <f t="shared" si="15"/>
        <v>1</v>
      </c>
      <c r="Q79" s="30">
        <f t="shared" si="16"/>
        <v>1</v>
      </c>
      <c r="R79" s="30">
        <f t="shared" si="17"/>
        <v>1</v>
      </c>
      <c r="S79" s="5">
        <v>1</v>
      </c>
    </row>
    <row r="80" spans="1:19" x14ac:dyDescent="0.25">
      <c r="A80" s="5">
        <v>76</v>
      </c>
      <c r="B80" s="5" t="s">
        <v>254</v>
      </c>
      <c r="C80" s="7">
        <v>41190</v>
      </c>
      <c r="D80" s="5" t="s">
        <v>255</v>
      </c>
      <c r="E80" s="5">
        <f t="shared" si="12"/>
        <v>2012</v>
      </c>
      <c r="F80" s="5">
        <f t="shared" si="13"/>
        <v>4</v>
      </c>
      <c r="G80" s="5">
        <f t="shared" si="14"/>
        <v>16</v>
      </c>
      <c r="H80" s="5" t="s">
        <v>89</v>
      </c>
      <c r="I80" s="5">
        <v>2</v>
      </c>
      <c r="J80" s="5" t="s">
        <v>96</v>
      </c>
      <c r="K80" s="5">
        <v>1</v>
      </c>
      <c r="L80" s="5" t="s">
        <v>99</v>
      </c>
      <c r="M80" s="5">
        <v>2</v>
      </c>
      <c r="N80" s="5" t="s">
        <v>92</v>
      </c>
      <c r="O80" s="5">
        <v>3</v>
      </c>
      <c r="P80" s="30">
        <f t="shared" si="15"/>
        <v>0</v>
      </c>
      <c r="Q80" s="30">
        <f t="shared" si="16"/>
        <v>1</v>
      </c>
      <c r="R80" s="30">
        <f t="shared" si="17"/>
        <v>0</v>
      </c>
      <c r="S80" s="5">
        <v>1</v>
      </c>
    </row>
    <row r="81" spans="1:19" x14ac:dyDescent="0.25">
      <c r="A81" s="5">
        <v>77</v>
      </c>
      <c r="B81" s="5" t="s">
        <v>256</v>
      </c>
      <c r="C81" s="7">
        <v>41190</v>
      </c>
      <c r="D81" s="5" t="s">
        <v>257</v>
      </c>
      <c r="E81" s="5">
        <f t="shared" si="12"/>
        <v>2012</v>
      </c>
      <c r="F81" s="5">
        <f t="shared" si="13"/>
        <v>4</v>
      </c>
      <c r="G81" s="5">
        <f t="shared" si="14"/>
        <v>16</v>
      </c>
      <c r="H81" s="5" t="s">
        <v>89</v>
      </c>
      <c r="I81" s="5">
        <v>2</v>
      </c>
      <c r="J81" s="5" t="s">
        <v>96</v>
      </c>
      <c r="K81" s="5">
        <v>6</v>
      </c>
      <c r="L81" s="5" t="s">
        <v>91</v>
      </c>
      <c r="M81" s="5">
        <v>2</v>
      </c>
      <c r="N81" s="5" t="s">
        <v>92</v>
      </c>
      <c r="O81" s="5">
        <v>1</v>
      </c>
      <c r="P81" s="30">
        <f t="shared" si="15"/>
        <v>0</v>
      </c>
      <c r="Q81" s="30">
        <f t="shared" si="16"/>
        <v>0</v>
      </c>
      <c r="R81" s="30">
        <f t="shared" si="17"/>
        <v>0</v>
      </c>
      <c r="S81" s="5">
        <v>1</v>
      </c>
    </row>
    <row r="82" spans="1:19" x14ac:dyDescent="0.25">
      <c r="A82" s="5">
        <v>78</v>
      </c>
      <c r="B82" s="5" t="s">
        <v>258</v>
      </c>
      <c r="C82" s="7">
        <v>41209</v>
      </c>
      <c r="D82" s="5" t="s">
        <v>259</v>
      </c>
      <c r="E82" s="5">
        <f t="shared" si="12"/>
        <v>2012</v>
      </c>
      <c r="F82" s="5">
        <f t="shared" si="13"/>
        <v>4</v>
      </c>
      <c r="G82" s="5">
        <f t="shared" si="14"/>
        <v>16</v>
      </c>
      <c r="H82" s="5" t="s">
        <v>103</v>
      </c>
      <c r="I82" s="5">
        <v>7</v>
      </c>
      <c r="J82" s="5" t="s">
        <v>90</v>
      </c>
      <c r="K82" s="5">
        <v>1</v>
      </c>
      <c r="L82" s="5" t="s">
        <v>99</v>
      </c>
      <c r="M82" s="5">
        <v>1</v>
      </c>
      <c r="N82" s="5" t="s">
        <v>100</v>
      </c>
      <c r="O82" s="5">
        <v>1</v>
      </c>
      <c r="P82" s="30">
        <f t="shared" si="15"/>
        <v>1</v>
      </c>
      <c r="Q82" s="30">
        <f t="shared" si="16"/>
        <v>1</v>
      </c>
      <c r="R82" s="30">
        <f t="shared" si="17"/>
        <v>1</v>
      </c>
      <c r="S82" s="5">
        <v>1</v>
      </c>
    </row>
    <row r="83" spans="1:19" x14ac:dyDescent="0.25">
      <c r="A83" s="5">
        <v>79</v>
      </c>
      <c r="B83" s="5" t="s">
        <v>260</v>
      </c>
      <c r="C83" s="7">
        <v>41224</v>
      </c>
      <c r="D83" s="5" t="s">
        <v>261</v>
      </c>
      <c r="E83" s="5">
        <f t="shared" si="12"/>
        <v>2012</v>
      </c>
      <c r="F83" s="5">
        <f t="shared" si="13"/>
        <v>4</v>
      </c>
      <c r="G83" s="5">
        <f t="shared" si="14"/>
        <v>16</v>
      </c>
      <c r="H83" s="5" t="s">
        <v>103</v>
      </c>
      <c r="I83" s="5">
        <v>1</v>
      </c>
      <c r="J83" s="5" t="s">
        <v>126</v>
      </c>
      <c r="K83" s="5">
        <v>1</v>
      </c>
      <c r="L83" s="5" t="s">
        <v>99</v>
      </c>
      <c r="M83" s="5">
        <v>2</v>
      </c>
      <c r="N83" s="5" t="s">
        <v>92</v>
      </c>
      <c r="O83" s="5">
        <v>2</v>
      </c>
      <c r="P83" s="30">
        <f t="shared" si="15"/>
        <v>1</v>
      </c>
      <c r="Q83" s="30">
        <f t="shared" si="16"/>
        <v>1</v>
      </c>
      <c r="R83" s="30">
        <f t="shared" si="17"/>
        <v>0</v>
      </c>
      <c r="S83" s="5">
        <v>1</v>
      </c>
    </row>
    <row r="84" spans="1:19" x14ac:dyDescent="0.25">
      <c r="A84" s="5">
        <v>80</v>
      </c>
      <c r="B84" s="5" t="s">
        <v>262</v>
      </c>
      <c r="C84" s="7">
        <v>41229</v>
      </c>
      <c r="D84" s="5" t="s">
        <v>263</v>
      </c>
      <c r="E84" s="5">
        <f t="shared" si="12"/>
        <v>2012</v>
      </c>
      <c r="F84" s="5">
        <f t="shared" si="13"/>
        <v>4</v>
      </c>
      <c r="G84" s="5">
        <f t="shared" si="14"/>
        <v>16</v>
      </c>
      <c r="H84" s="5" t="s">
        <v>89</v>
      </c>
      <c r="I84" s="5">
        <v>6</v>
      </c>
      <c r="J84" s="5" t="s">
        <v>129</v>
      </c>
      <c r="K84" s="5">
        <v>6</v>
      </c>
      <c r="L84" s="5" t="s">
        <v>91</v>
      </c>
      <c r="M84" s="5">
        <v>2</v>
      </c>
      <c r="N84" s="5" t="s">
        <v>92</v>
      </c>
      <c r="O84" s="5">
        <v>1</v>
      </c>
      <c r="P84" s="30">
        <f t="shared" si="15"/>
        <v>1</v>
      </c>
      <c r="Q84" s="30">
        <f t="shared" si="16"/>
        <v>0</v>
      </c>
      <c r="R84" s="30">
        <f t="shared" si="17"/>
        <v>0</v>
      </c>
      <c r="S84" s="5">
        <v>1</v>
      </c>
    </row>
    <row r="85" spans="1:19" x14ac:dyDescent="0.25">
      <c r="A85" s="5">
        <v>81</v>
      </c>
      <c r="B85" s="5" t="s">
        <v>264</v>
      </c>
      <c r="C85" s="7">
        <v>41250</v>
      </c>
      <c r="D85" s="5" t="s">
        <v>265</v>
      </c>
      <c r="E85" s="5">
        <f t="shared" si="12"/>
        <v>2012</v>
      </c>
      <c r="F85" s="5">
        <f t="shared" si="13"/>
        <v>4</v>
      </c>
      <c r="G85" s="5">
        <f t="shared" si="14"/>
        <v>16</v>
      </c>
      <c r="H85" s="5" t="s">
        <v>95</v>
      </c>
      <c r="I85" s="5">
        <v>6</v>
      </c>
      <c r="J85" s="5" t="s">
        <v>129</v>
      </c>
      <c r="K85" s="5">
        <v>1</v>
      </c>
      <c r="L85" s="5" t="s">
        <v>99</v>
      </c>
      <c r="M85" s="5">
        <v>2</v>
      </c>
      <c r="N85" s="5" t="s">
        <v>92</v>
      </c>
      <c r="O85" s="5">
        <v>1</v>
      </c>
      <c r="P85" s="30">
        <f t="shared" si="15"/>
        <v>1</v>
      </c>
      <c r="Q85" s="30">
        <f t="shared" si="16"/>
        <v>1</v>
      </c>
      <c r="R85" s="30">
        <f t="shared" si="17"/>
        <v>0</v>
      </c>
      <c r="S85" s="5">
        <v>1</v>
      </c>
    </row>
    <row r="86" spans="1:19" x14ac:dyDescent="0.25">
      <c r="A86" s="5">
        <v>82</v>
      </c>
      <c r="B86" s="5" t="s">
        <v>266</v>
      </c>
      <c r="C86" s="7">
        <v>41293</v>
      </c>
      <c r="D86" s="5" t="s">
        <v>267</v>
      </c>
      <c r="E86" s="5">
        <f t="shared" si="12"/>
        <v>2013</v>
      </c>
      <c r="F86" s="5">
        <f t="shared" si="13"/>
        <v>1</v>
      </c>
      <c r="G86" s="5">
        <f t="shared" si="14"/>
        <v>17</v>
      </c>
      <c r="H86" s="5" t="s">
        <v>89</v>
      </c>
      <c r="I86" s="5">
        <v>7</v>
      </c>
      <c r="J86" s="5" t="s">
        <v>90</v>
      </c>
      <c r="K86" s="5">
        <v>6</v>
      </c>
      <c r="L86" s="5" t="s">
        <v>91</v>
      </c>
      <c r="M86" s="5">
        <v>1</v>
      </c>
      <c r="N86" s="5" t="s">
        <v>100</v>
      </c>
      <c r="O86" s="5">
        <v>1</v>
      </c>
      <c r="P86" s="30">
        <f t="shared" si="15"/>
        <v>1</v>
      </c>
      <c r="Q86" s="30">
        <f t="shared" si="16"/>
        <v>0</v>
      </c>
      <c r="R86" s="30">
        <f t="shared" si="17"/>
        <v>1</v>
      </c>
      <c r="S86" s="5">
        <v>1</v>
      </c>
    </row>
    <row r="87" spans="1:19" x14ac:dyDescent="0.25">
      <c r="A87" s="5">
        <v>83</v>
      </c>
      <c r="B87" s="5" t="s">
        <v>268</v>
      </c>
      <c r="C87" s="7">
        <v>41300</v>
      </c>
      <c r="D87" s="5" t="s">
        <v>269</v>
      </c>
      <c r="E87" s="5">
        <f t="shared" si="12"/>
        <v>2013</v>
      </c>
      <c r="F87" s="5">
        <f t="shared" si="13"/>
        <v>1</v>
      </c>
      <c r="G87" s="5">
        <f t="shared" si="14"/>
        <v>17</v>
      </c>
      <c r="H87" s="5" t="s">
        <v>103</v>
      </c>
      <c r="I87" s="5">
        <v>7</v>
      </c>
      <c r="J87" s="5" t="s">
        <v>90</v>
      </c>
      <c r="K87" s="5">
        <v>1</v>
      </c>
      <c r="L87" s="5" t="s">
        <v>99</v>
      </c>
      <c r="M87" s="5">
        <v>1</v>
      </c>
      <c r="N87" s="5" t="s">
        <v>100</v>
      </c>
      <c r="O87" s="5">
        <v>1</v>
      </c>
      <c r="P87" s="30">
        <f t="shared" si="15"/>
        <v>1</v>
      </c>
      <c r="Q87" s="30">
        <f t="shared" si="16"/>
        <v>1</v>
      </c>
      <c r="R87" s="30">
        <f t="shared" si="17"/>
        <v>1</v>
      </c>
      <c r="S87" s="5">
        <v>1</v>
      </c>
    </row>
    <row r="88" spans="1:19" x14ac:dyDescent="0.25">
      <c r="A88" s="5">
        <v>84</v>
      </c>
      <c r="B88" s="5" t="s">
        <v>270</v>
      </c>
      <c r="C88" s="7">
        <v>41353</v>
      </c>
      <c r="D88" s="5" t="s">
        <v>271</v>
      </c>
      <c r="E88" s="5">
        <f t="shared" si="12"/>
        <v>2013</v>
      </c>
      <c r="F88" s="5">
        <f t="shared" si="13"/>
        <v>1</v>
      </c>
      <c r="G88" s="5">
        <f t="shared" si="14"/>
        <v>17</v>
      </c>
      <c r="H88" s="5" t="s">
        <v>95</v>
      </c>
      <c r="I88" s="5">
        <v>4</v>
      </c>
      <c r="J88" s="5" t="s">
        <v>104</v>
      </c>
      <c r="K88" s="5">
        <v>1</v>
      </c>
      <c r="L88" s="5" t="s">
        <v>99</v>
      </c>
      <c r="M88" s="5">
        <v>1</v>
      </c>
      <c r="N88" s="5" t="s">
        <v>100</v>
      </c>
      <c r="O88" s="5">
        <v>1</v>
      </c>
      <c r="P88" s="30">
        <f t="shared" si="15"/>
        <v>0</v>
      </c>
      <c r="Q88" s="30">
        <f t="shared" si="16"/>
        <v>1</v>
      </c>
      <c r="R88" s="30">
        <f t="shared" si="17"/>
        <v>1</v>
      </c>
      <c r="S88" s="5">
        <v>1</v>
      </c>
    </row>
    <row r="89" spans="1:19" x14ac:dyDescent="0.25">
      <c r="A89" s="5">
        <v>85</v>
      </c>
      <c r="B89" s="5" t="s">
        <v>272</v>
      </c>
      <c r="C89" s="7">
        <v>41355</v>
      </c>
      <c r="D89" s="5" t="s">
        <v>273</v>
      </c>
      <c r="E89" s="5">
        <f t="shared" si="12"/>
        <v>2013</v>
      </c>
      <c r="F89" s="5">
        <f t="shared" si="13"/>
        <v>1</v>
      </c>
      <c r="G89" s="5">
        <f t="shared" si="14"/>
        <v>17</v>
      </c>
      <c r="H89" s="5" t="s">
        <v>89</v>
      </c>
      <c r="I89" s="5">
        <v>6</v>
      </c>
      <c r="J89" s="5" t="s">
        <v>129</v>
      </c>
      <c r="K89" s="5">
        <v>1</v>
      </c>
      <c r="L89" s="5" t="s">
        <v>99</v>
      </c>
      <c r="M89" s="5">
        <v>2</v>
      </c>
      <c r="N89" s="5" t="s">
        <v>92</v>
      </c>
      <c r="O89" s="5">
        <v>2</v>
      </c>
      <c r="P89" s="30">
        <f t="shared" si="15"/>
        <v>1</v>
      </c>
      <c r="Q89" s="30">
        <f t="shared" si="16"/>
        <v>1</v>
      </c>
      <c r="R89" s="30">
        <f t="shared" si="17"/>
        <v>0</v>
      </c>
      <c r="S89" s="5">
        <v>1</v>
      </c>
    </row>
    <row r="90" spans="1:19" x14ac:dyDescent="0.25">
      <c r="A90" s="5">
        <v>86</v>
      </c>
      <c r="B90" s="5" t="s">
        <v>274</v>
      </c>
      <c r="C90" s="7">
        <v>41363</v>
      </c>
      <c r="D90" s="5" t="s">
        <v>275</v>
      </c>
      <c r="E90" s="5">
        <f t="shared" si="12"/>
        <v>2013</v>
      </c>
      <c r="F90" s="5">
        <f t="shared" si="13"/>
        <v>1</v>
      </c>
      <c r="G90" s="5">
        <f t="shared" si="14"/>
        <v>17</v>
      </c>
      <c r="H90" s="5" t="s">
        <v>89</v>
      </c>
      <c r="I90" s="5">
        <v>7</v>
      </c>
      <c r="J90" s="5" t="s">
        <v>90</v>
      </c>
      <c r="K90" s="5">
        <v>1</v>
      </c>
      <c r="L90" s="5" t="s">
        <v>99</v>
      </c>
      <c r="M90" s="5">
        <v>1</v>
      </c>
      <c r="N90" s="5" t="s">
        <v>100</v>
      </c>
      <c r="O90" s="5">
        <v>2</v>
      </c>
      <c r="P90" s="30">
        <f t="shared" si="15"/>
        <v>1</v>
      </c>
      <c r="Q90" s="30">
        <f t="shared" si="16"/>
        <v>1</v>
      </c>
      <c r="R90" s="30">
        <f t="shared" si="17"/>
        <v>1</v>
      </c>
      <c r="S90" s="5">
        <v>1</v>
      </c>
    </row>
    <row r="91" spans="1:19" x14ac:dyDescent="0.25">
      <c r="A91" s="5">
        <v>87</v>
      </c>
      <c r="B91" s="5" t="s">
        <v>276</v>
      </c>
      <c r="C91" s="7">
        <v>41418</v>
      </c>
      <c r="D91" s="5" t="s">
        <v>147</v>
      </c>
      <c r="E91" s="5">
        <f t="shared" si="12"/>
        <v>2013</v>
      </c>
      <c r="F91" s="5">
        <f t="shared" si="13"/>
        <v>2</v>
      </c>
      <c r="G91" s="5">
        <f t="shared" si="14"/>
        <v>18</v>
      </c>
      <c r="H91" s="5" t="s">
        <v>89</v>
      </c>
      <c r="I91" s="5">
        <v>6</v>
      </c>
      <c r="J91" s="5" t="s">
        <v>129</v>
      </c>
      <c r="K91" s="5">
        <v>1</v>
      </c>
      <c r="L91" s="5" t="s">
        <v>99</v>
      </c>
      <c r="M91" s="5">
        <v>1</v>
      </c>
      <c r="N91" s="5" t="s">
        <v>100</v>
      </c>
      <c r="O91" s="5">
        <v>1</v>
      </c>
      <c r="P91" s="30">
        <f t="shared" si="15"/>
        <v>1</v>
      </c>
      <c r="Q91" s="30">
        <f t="shared" si="16"/>
        <v>1</v>
      </c>
      <c r="R91" s="30">
        <f t="shared" si="17"/>
        <v>1</v>
      </c>
      <c r="S91" s="5">
        <v>1</v>
      </c>
    </row>
    <row r="92" spans="1:19" x14ac:dyDescent="0.25">
      <c r="A92" s="5">
        <v>88</v>
      </c>
      <c r="B92" s="5" t="s">
        <v>277</v>
      </c>
      <c r="C92" s="7">
        <v>41419</v>
      </c>
      <c r="D92" s="5" t="s">
        <v>278</v>
      </c>
      <c r="E92" s="5">
        <f t="shared" si="12"/>
        <v>2013</v>
      </c>
      <c r="F92" s="5">
        <f t="shared" si="13"/>
        <v>2</v>
      </c>
      <c r="G92" s="5">
        <f t="shared" si="14"/>
        <v>18</v>
      </c>
      <c r="H92" s="5" t="s">
        <v>89</v>
      </c>
      <c r="I92" s="5">
        <v>7</v>
      </c>
      <c r="J92" s="5" t="s">
        <v>90</v>
      </c>
      <c r="K92" s="5">
        <v>6</v>
      </c>
      <c r="L92" s="5" t="s">
        <v>91</v>
      </c>
      <c r="M92" s="5">
        <v>1</v>
      </c>
      <c r="N92" s="5" t="s">
        <v>100</v>
      </c>
      <c r="O92" s="5">
        <v>2</v>
      </c>
      <c r="P92" s="30">
        <f t="shared" si="15"/>
        <v>1</v>
      </c>
      <c r="Q92" s="30">
        <f t="shared" si="16"/>
        <v>0</v>
      </c>
      <c r="R92" s="30">
        <f t="shared" si="17"/>
        <v>1</v>
      </c>
      <c r="S92" s="5">
        <v>1</v>
      </c>
    </row>
    <row r="93" spans="1:19" x14ac:dyDescent="0.25">
      <c r="A93" s="5">
        <v>89</v>
      </c>
      <c r="B93" s="5" t="s">
        <v>279</v>
      </c>
      <c r="C93" s="7">
        <v>41431</v>
      </c>
      <c r="D93" s="5" t="s">
        <v>280</v>
      </c>
      <c r="E93" s="5">
        <f t="shared" si="12"/>
        <v>2013</v>
      </c>
      <c r="F93" s="5">
        <f t="shared" si="13"/>
        <v>2</v>
      </c>
      <c r="G93" s="5">
        <f t="shared" si="14"/>
        <v>18</v>
      </c>
      <c r="H93" s="5" t="s">
        <v>89</v>
      </c>
      <c r="I93" s="5">
        <v>5</v>
      </c>
      <c r="J93" s="5" t="s">
        <v>163</v>
      </c>
      <c r="K93" s="5">
        <v>1</v>
      </c>
      <c r="L93" s="5" t="s">
        <v>99</v>
      </c>
      <c r="M93" s="5">
        <v>1</v>
      </c>
      <c r="N93" s="5" t="s">
        <v>100</v>
      </c>
      <c r="O93" s="5">
        <v>3</v>
      </c>
      <c r="P93" s="30">
        <f t="shared" si="15"/>
        <v>0</v>
      </c>
      <c r="Q93" s="30">
        <f t="shared" si="16"/>
        <v>1</v>
      </c>
      <c r="R93" s="30">
        <f t="shared" si="17"/>
        <v>1</v>
      </c>
      <c r="S93" s="5">
        <v>1</v>
      </c>
    </row>
    <row r="94" spans="1:19" x14ac:dyDescent="0.25">
      <c r="A94" s="5">
        <v>90</v>
      </c>
      <c r="B94" s="5" t="s">
        <v>281</v>
      </c>
      <c r="C94" s="7">
        <v>41457</v>
      </c>
      <c r="D94" s="5" t="s">
        <v>282</v>
      </c>
      <c r="E94" s="5">
        <f t="shared" si="12"/>
        <v>2013</v>
      </c>
      <c r="F94" s="5">
        <f t="shared" si="13"/>
        <v>3</v>
      </c>
      <c r="G94" s="5">
        <f t="shared" si="14"/>
        <v>19</v>
      </c>
      <c r="H94" s="5" t="s">
        <v>89</v>
      </c>
      <c r="I94" s="5">
        <v>3</v>
      </c>
      <c r="J94" s="5" t="s">
        <v>121</v>
      </c>
      <c r="K94" s="5">
        <v>1</v>
      </c>
      <c r="L94" s="5" t="s">
        <v>99</v>
      </c>
      <c r="M94" s="5">
        <v>2</v>
      </c>
      <c r="N94" s="5" t="s">
        <v>92</v>
      </c>
      <c r="O94" s="5">
        <v>2</v>
      </c>
      <c r="P94" s="30">
        <f t="shared" si="15"/>
        <v>0</v>
      </c>
      <c r="Q94" s="30">
        <f t="shared" si="16"/>
        <v>1</v>
      </c>
      <c r="R94" s="30">
        <f t="shared" si="17"/>
        <v>0</v>
      </c>
      <c r="S94" s="5">
        <v>1</v>
      </c>
    </row>
    <row r="95" spans="1:19" x14ac:dyDescent="0.25">
      <c r="A95" s="5">
        <v>91</v>
      </c>
      <c r="B95" s="5" t="s">
        <v>283</v>
      </c>
      <c r="C95" s="7">
        <v>41458</v>
      </c>
      <c r="D95" s="5" t="s">
        <v>284</v>
      </c>
      <c r="E95" s="5">
        <f t="shared" si="12"/>
        <v>2013</v>
      </c>
      <c r="F95" s="5">
        <f t="shared" si="13"/>
        <v>3</v>
      </c>
      <c r="G95" s="5">
        <f t="shared" si="14"/>
        <v>19</v>
      </c>
      <c r="H95" s="5" t="s">
        <v>95</v>
      </c>
      <c r="I95" s="5">
        <v>4</v>
      </c>
      <c r="J95" s="5" t="s">
        <v>104</v>
      </c>
      <c r="K95" s="5">
        <v>1</v>
      </c>
      <c r="L95" s="5" t="s">
        <v>99</v>
      </c>
      <c r="M95" s="5">
        <v>1</v>
      </c>
      <c r="N95" s="5" t="s">
        <v>100</v>
      </c>
      <c r="O95" s="5">
        <v>4</v>
      </c>
      <c r="P95" s="30">
        <f t="shared" si="15"/>
        <v>0</v>
      </c>
      <c r="Q95" s="30">
        <f t="shared" si="16"/>
        <v>1</v>
      </c>
      <c r="R95" s="30">
        <f t="shared" si="17"/>
        <v>1</v>
      </c>
      <c r="S95" s="5">
        <v>1</v>
      </c>
    </row>
    <row r="96" spans="1:19" x14ac:dyDescent="0.25">
      <c r="A96" s="5">
        <v>92</v>
      </c>
      <c r="B96" s="5" t="s">
        <v>285</v>
      </c>
      <c r="C96" s="7">
        <v>41475</v>
      </c>
      <c r="D96" s="5" t="s">
        <v>157</v>
      </c>
      <c r="E96" s="5">
        <f t="shared" si="12"/>
        <v>2013</v>
      </c>
      <c r="F96" s="5">
        <f t="shared" si="13"/>
        <v>3</v>
      </c>
      <c r="G96" s="5">
        <f t="shared" si="14"/>
        <v>19</v>
      </c>
      <c r="H96" s="5" t="s">
        <v>89</v>
      </c>
      <c r="I96" s="5">
        <v>7</v>
      </c>
      <c r="J96" s="5" t="s">
        <v>90</v>
      </c>
      <c r="K96" s="5">
        <v>1</v>
      </c>
      <c r="L96" s="5" t="s">
        <v>99</v>
      </c>
      <c r="M96" s="5">
        <v>1</v>
      </c>
      <c r="N96" s="5" t="s">
        <v>100</v>
      </c>
      <c r="O96" s="5">
        <v>1</v>
      </c>
      <c r="P96" s="30">
        <f t="shared" si="15"/>
        <v>1</v>
      </c>
      <c r="Q96" s="30">
        <f t="shared" si="16"/>
        <v>1</v>
      </c>
      <c r="R96" s="30">
        <f t="shared" si="17"/>
        <v>1</v>
      </c>
      <c r="S96" s="5">
        <v>1</v>
      </c>
    </row>
    <row r="97" spans="1:19" x14ac:dyDescent="0.25">
      <c r="A97" s="5">
        <v>93</v>
      </c>
      <c r="B97" s="5" t="s">
        <v>286</v>
      </c>
      <c r="C97" s="7">
        <v>41504</v>
      </c>
      <c r="D97" s="5" t="s">
        <v>225</v>
      </c>
      <c r="E97" s="5">
        <f t="shared" si="12"/>
        <v>2013</v>
      </c>
      <c r="F97" s="5">
        <f t="shared" si="13"/>
        <v>3</v>
      </c>
      <c r="G97" s="5">
        <f t="shared" si="14"/>
        <v>19</v>
      </c>
      <c r="H97" s="5" t="s">
        <v>89</v>
      </c>
      <c r="I97" s="5">
        <v>1</v>
      </c>
      <c r="J97" s="5" t="s">
        <v>126</v>
      </c>
      <c r="K97" s="5">
        <v>6</v>
      </c>
      <c r="L97" s="5" t="s">
        <v>91</v>
      </c>
      <c r="M97" s="5">
        <v>2</v>
      </c>
      <c r="N97" s="5" t="s">
        <v>92</v>
      </c>
      <c r="O97" s="5">
        <v>3</v>
      </c>
      <c r="P97" s="30">
        <f t="shared" si="15"/>
        <v>1</v>
      </c>
      <c r="Q97" s="30">
        <f t="shared" si="16"/>
        <v>0</v>
      </c>
      <c r="R97" s="30">
        <f t="shared" si="17"/>
        <v>0</v>
      </c>
      <c r="S97" s="5">
        <v>1</v>
      </c>
    </row>
    <row r="98" spans="1:19" x14ac:dyDescent="0.25">
      <c r="A98" s="5">
        <v>94</v>
      </c>
      <c r="B98" s="5" t="s">
        <v>287</v>
      </c>
      <c r="C98" s="7">
        <v>41575</v>
      </c>
      <c r="D98" s="5" t="s">
        <v>288</v>
      </c>
      <c r="E98" s="5">
        <f t="shared" si="12"/>
        <v>2013</v>
      </c>
      <c r="F98" s="5">
        <f t="shared" si="13"/>
        <v>4</v>
      </c>
      <c r="G98" s="5">
        <f t="shared" si="14"/>
        <v>20</v>
      </c>
      <c r="H98" s="5" t="s">
        <v>89</v>
      </c>
      <c r="I98" s="5">
        <v>2</v>
      </c>
      <c r="J98" s="5" t="s">
        <v>96</v>
      </c>
      <c r="K98" s="5">
        <v>1</v>
      </c>
      <c r="L98" s="5" t="s">
        <v>99</v>
      </c>
      <c r="M98" s="5">
        <v>2</v>
      </c>
      <c r="N98" s="5" t="s">
        <v>92</v>
      </c>
      <c r="O98" s="5">
        <v>4</v>
      </c>
      <c r="P98" s="30">
        <f t="shared" si="15"/>
        <v>0</v>
      </c>
      <c r="Q98" s="30">
        <f t="shared" si="16"/>
        <v>1</v>
      </c>
      <c r="R98" s="30">
        <f t="shared" si="17"/>
        <v>0</v>
      </c>
      <c r="S98" s="5">
        <v>1</v>
      </c>
    </row>
    <row r="99" spans="1:19" x14ac:dyDescent="0.25">
      <c r="A99" s="5">
        <v>95</v>
      </c>
      <c r="B99" s="5" t="s">
        <v>289</v>
      </c>
      <c r="C99" s="7">
        <v>41579</v>
      </c>
      <c r="D99" s="5" t="s">
        <v>290</v>
      </c>
      <c r="E99" s="5">
        <f t="shared" si="12"/>
        <v>2013</v>
      </c>
      <c r="F99" s="5">
        <f t="shared" si="13"/>
        <v>4</v>
      </c>
      <c r="G99" s="5">
        <f t="shared" si="14"/>
        <v>20</v>
      </c>
      <c r="H99" s="5" t="s">
        <v>89</v>
      </c>
      <c r="I99" s="5">
        <v>6</v>
      </c>
      <c r="J99" s="5" t="s">
        <v>129</v>
      </c>
      <c r="K99" s="5">
        <v>6</v>
      </c>
      <c r="L99" s="5" t="s">
        <v>91</v>
      </c>
      <c r="M99" s="5">
        <v>2</v>
      </c>
      <c r="N99" s="5" t="s">
        <v>92</v>
      </c>
      <c r="O99" s="5">
        <v>2</v>
      </c>
      <c r="P99" s="30">
        <f t="shared" si="15"/>
        <v>1</v>
      </c>
      <c r="Q99" s="30">
        <f t="shared" si="16"/>
        <v>0</v>
      </c>
      <c r="R99" s="30">
        <f t="shared" si="17"/>
        <v>0</v>
      </c>
      <c r="S99" s="5">
        <v>1</v>
      </c>
    </row>
    <row r="100" spans="1:19" x14ac:dyDescent="0.25">
      <c r="A100" s="5">
        <v>96</v>
      </c>
      <c r="B100" s="5" t="s">
        <v>291</v>
      </c>
      <c r="C100" s="7">
        <v>41590</v>
      </c>
      <c r="D100" s="5" t="s">
        <v>292</v>
      </c>
      <c r="E100" s="5">
        <f t="shared" si="12"/>
        <v>2013</v>
      </c>
      <c r="F100" s="5">
        <f t="shared" si="13"/>
        <v>4</v>
      </c>
      <c r="G100" s="5">
        <f t="shared" si="14"/>
        <v>20</v>
      </c>
      <c r="H100" s="5" t="s">
        <v>89</v>
      </c>
      <c r="I100" s="5">
        <v>3</v>
      </c>
      <c r="J100" s="5" t="s">
        <v>121</v>
      </c>
      <c r="K100" s="5">
        <v>1</v>
      </c>
      <c r="L100" s="5" t="s">
        <v>99</v>
      </c>
      <c r="M100" s="5">
        <v>2</v>
      </c>
      <c r="N100" s="5" t="s">
        <v>92</v>
      </c>
      <c r="O100" s="5">
        <v>2</v>
      </c>
      <c r="P100" s="30">
        <f t="shared" si="15"/>
        <v>0</v>
      </c>
      <c r="Q100" s="30">
        <f t="shared" si="16"/>
        <v>1</v>
      </c>
      <c r="R100" s="30">
        <f t="shared" si="17"/>
        <v>0</v>
      </c>
      <c r="S100" s="5">
        <v>1</v>
      </c>
    </row>
    <row r="101" spans="1:19" x14ac:dyDescent="0.25">
      <c r="A101" s="5">
        <v>97</v>
      </c>
      <c r="B101" s="5" t="s">
        <v>293</v>
      </c>
      <c r="C101" s="7">
        <v>41610</v>
      </c>
      <c r="D101" s="5" t="s">
        <v>294</v>
      </c>
      <c r="E101" s="5">
        <f t="shared" ref="E101:E132" si="18">YEAR(C101)</f>
        <v>2013</v>
      </c>
      <c r="F101" s="5">
        <f t="shared" ref="F101:F132" si="19">ROUNDUP(MONTH(C101)/3,0)</f>
        <v>4</v>
      </c>
      <c r="G101" s="5">
        <f t="shared" ref="G101:G132" si="20">(E101-2009)*4+F101</f>
        <v>20</v>
      </c>
      <c r="H101" s="5" t="s">
        <v>89</v>
      </c>
      <c r="I101" s="5">
        <v>2</v>
      </c>
      <c r="J101" s="5" t="s">
        <v>96</v>
      </c>
      <c r="K101" s="5">
        <v>6</v>
      </c>
      <c r="L101" s="5" t="s">
        <v>91</v>
      </c>
      <c r="M101" s="5">
        <v>1</v>
      </c>
      <c r="N101" s="5" t="s">
        <v>100</v>
      </c>
      <c r="O101" s="5">
        <v>2</v>
      </c>
      <c r="P101" s="30">
        <f t="shared" ref="P101:P132" si="21">IF(OR(I101=1,I101=6,I101=7),1,0)</f>
        <v>0</v>
      </c>
      <c r="Q101" s="30">
        <f t="shared" ref="Q101:Q132" si="22">IF(K101=1,1,0)</f>
        <v>0</v>
      </c>
      <c r="R101" s="30">
        <f t="shared" ref="R101:R132" si="23">IF(M101=1,1,0)</f>
        <v>1</v>
      </c>
      <c r="S101" s="5">
        <v>1</v>
      </c>
    </row>
    <row r="102" spans="1:19" x14ac:dyDescent="0.25">
      <c r="A102" s="5">
        <v>98</v>
      </c>
      <c r="B102" s="5" t="s">
        <v>295</v>
      </c>
      <c r="C102" s="7">
        <v>41630</v>
      </c>
      <c r="D102" s="5" t="s">
        <v>296</v>
      </c>
      <c r="E102" s="5">
        <f t="shared" si="18"/>
        <v>2013</v>
      </c>
      <c r="F102" s="5">
        <f t="shared" si="19"/>
        <v>4</v>
      </c>
      <c r="G102" s="5">
        <f t="shared" si="20"/>
        <v>20</v>
      </c>
      <c r="H102" s="5" t="s">
        <v>89</v>
      </c>
      <c r="I102" s="5">
        <v>1</v>
      </c>
      <c r="J102" s="5" t="s">
        <v>126</v>
      </c>
      <c r="K102" s="5">
        <v>6</v>
      </c>
      <c r="L102" s="5" t="s">
        <v>91</v>
      </c>
      <c r="M102" s="5">
        <v>2</v>
      </c>
      <c r="N102" s="5" t="s">
        <v>92</v>
      </c>
      <c r="O102" s="5">
        <v>4</v>
      </c>
      <c r="P102" s="30">
        <f t="shared" si="21"/>
        <v>1</v>
      </c>
      <c r="Q102" s="30">
        <f t="shared" si="22"/>
        <v>0</v>
      </c>
      <c r="R102" s="30">
        <f t="shared" si="23"/>
        <v>0</v>
      </c>
      <c r="S102" s="5">
        <v>1</v>
      </c>
    </row>
    <row r="103" spans="1:19" x14ac:dyDescent="0.25">
      <c r="A103" s="5">
        <v>99</v>
      </c>
      <c r="B103" s="5" t="s">
        <v>297</v>
      </c>
      <c r="C103" s="7">
        <v>41630</v>
      </c>
      <c r="D103" s="5" t="s">
        <v>298</v>
      </c>
      <c r="E103" s="5">
        <f t="shared" si="18"/>
        <v>2013</v>
      </c>
      <c r="F103" s="5">
        <f t="shared" si="19"/>
        <v>4</v>
      </c>
      <c r="G103" s="5">
        <f t="shared" si="20"/>
        <v>20</v>
      </c>
      <c r="H103" s="5" t="s">
        <v>89</v>
      </c>
      <c r="I103" s="5">
        <v>1</v>
      </c>
      <c r="J103" s="5" t="s">
        <v>126</v>
      </c>
      <c r="K103" s="5">
        <v>1</v>
      </c>
      <c r="L103" s="5" t="s">
        <v>99</v>
      </c>
      <c r="M103" s="5">
        <v>4</v>
      </c>
      <c r="N103" s="5" t="s">
        <v>145</v>
      </c>
      <c r="O103" s="5">
        <v>2</v>
      </c>
      <c r="P103" s="30">
        <f t="shared" si="21"/>
        <v>1</v>
      </c>
      <c r="Q103" s="30">
        <f t="shared" si="22"/>
        <v>1</v>
      </c>
      <c r="R103" s="30">
        <f t="shared" si="23"/>
        <v>0</v>
      </c>
      <c r="S103" s="5">
        <v>1</v>
      </c>
    </row>
    <row r="104" spans="1:19" x14ac:dyDescent="0.25">
      <c r="A104" s="5">
        <v>100</v>
      </c>
      <c r="B104" s="5" t="s">
        <v>299</v>
      </c>
      <c r="C104" s="7">
        <v>41642</v>
      </c>
      <c r="D104" s="5" t="s">
        <v>300</v>
      </c>
      <c r="E104" s="5">
        <f t="shared" si="18"/>
        <v>2014</v>
      </c>
      <c r="F104" s="5">
        <f t="shared" si="19"/>
        <v>1</v>
      </c>
      <c r="G104" s="5">
        <f t="shared" si="20"/>
        <v>21</v>
      </c>
      <c r="H104" s="5" t="s">
        <v>89</v>
      </c>
      <c r="I104" s="5">
        <v>6</v>
      </c>
      <c r="J104" s="5" t="s">
        <v>129</v>
      </c>
      <c r="K104" s="5">
        <v>1</v>
      </c>
      <c r="L104" s="5" t="s">
        <v>99</v>
      </c>
      <c r="M104" s="5">
        <v>2</v>
      </c>
      <c r="N104" s="5" t="s">
        <v>92</v>
      </c>
      <c r="O104" s="5">
        <v>1</v>
      </c>
      <c r="P104" s="30">
        <f t="shared" si="21"/>
        <v>1</v>
      </c>
      <c r="Q104" s="30">
        <f t="shared" si="22"/>
        <v>1</v>
      </c>
      <c r="R104" s="30">
        <f t="shared" si="23"/>
        <v>0</v>
      </c>
      <c r="S104" s="5">
        <v>1</v>
      </c>
    </row>
    <row r="105" spans="1:19" x14ac:dyDescent="0.25">
      <c r="A105" s="5">
        <v>101</v>
      </c>
      <c r="B105" s="5" t="s">
        <v>301</v>
      </c>
      <c r="C105" s="7">
        <v>41658</v>
      </c>
      <c r="D105" s="5" t="s">
        <v>302</v>
      </c>
      <c r="E105" s="5">
        <f t="shared" si="18"/>
        <v>2014</v>
      </c>
      <c r="F105" s="5">
        <f t="shared" si="19"/>
        <v>1</v>
      </c>
      <c r="G105" s="5">
        <f t="shared" si="20"/>
        <v>21</v>
      </c>
      <c r="H105" s="5" t="s">
        <v>89</v>
      </c>
      <c r="I105" s="5">
        <v>1</v>
      </c>
      <c r="J105" s="5" t="s">
        <v>126</v>
      </c>
      <c r="K105" s="5">
        <v>1</v>
      </c>
      <c r="L105" s="5" t="s">
        <v>99</v>
      </c>
      <c r="M105" s="5">
        <v>4</v>
      </c>
      <c r="N105" s="5" t="s">
        <v>145</v>
      </c>
      <c r="O105" s="5">
        <v>2</v>
      </c>
      <c r="P105" s="30">
        <f t="shared" si="21"/>
        <v>1</v>
      </c>
      <c r="Q105" s="30">
        <f t="shared" si="22"/>
        <v>1</v>
      </c>
      <c r="R105" s="30">
        <f t="shared" si="23"/>
        <v>0</v>
      </c>
      <c r="S105" s="5">
        <v>1</v>
      </c>
    </row>
    <row r="106" spans="1:19" x14ac:dyDescent="0.25">
      <c r="A106" s="5">
        <v>102</v>
      </c>
      <c r="B106" s="5" t="s">
        <v>303</v>
      </c>
      <c r="C106" s="7">
        <v>41685</v>
      </c>
      <c r="D106" s="5" t="s">
        <v>304</v>
      </c>
      <c r="E106" s="5">
        <f t="shared" si="18"/>
        <v>2014</v>
      </c>
      <c r="F106" s="5">
        <f t="shared" si="19"/>
        <v>1</v>
      </c>
      <c r="G106" s="5">
        <f t="shared" si="20"/>
        <v>21</v>
      </c>
      <c r="H106" s="5" t="s">
        <v>89</v>
      </c>
      <c r="I106" s="5">
        <v>7</v>
      </c>
      <c r="J106" s="5" t="s">
        <v>90</v>
      </c>
      <c r="K106" s="5">
        <v>6</v>
      </c>
      <c r="L106" s="5" t="s">
        <v>91</v>
      </c>
      <c r="M106" s="5">
        <v>2</v>
      </c>
      <c r="N106" s="5" t="s">
        <v>92</v>
      </c>
      <c r="O106" s="5">
        <v>2</v>
      </c>
      <c r="P106" s="30">
        <f t="shared" si="21"/>
        <v>1</v>
      </c>
      <c r="Q106" s="30">
        <f t="shared" si="22"/>
        <v>0</v>
      </c>
      <c r="R106" s="30">
        <f t="shared" si="23"/>
        <v>0</v>
      </c>
      <c r="S106" s="5">
        <v>1</v>
      </c>
    </row>
    <row r="107" spans="1:19" x14ac:dyDescent="0.25">
      <c r="A107" s="5">
        <v>103</v>
      </c>
      <c r="B107" s="5" t="s">
        <v>305</v>
      </c>
      <c r="C107" s="7">
        <v>41695</v>
      </c>
      <c r="D107" s="5" t="s">
        <v>306</v>
      </c>
      <c r="E107" s="5">
        <f t="shared" si="18"/>
        <v>2014</v>
      </c>
      <c r="F107" s="5">
        <f t="shared" si="19"/>
        <v>1</v>
      </c>
      <c r="G107" s="5">
        <f t="shared" si="20"/>
        <v>21</v>
      </c>
      <c r="H107" s="5" t="s">
        <v>95</v>
      </c>
      <c r="I107" s="5">
        <v>3</v>
      </c>
      <c r="J107" s="5" t="s">
        <v>121</v>
      </c>
      <c r="K107" s="5">
        <v>1</v>
      </c>
      <c r="L107" s="5" t="s">
        <v>99</v>
      </c>
      <c r="M107" s="5">
        <v>1</v>
      </c>
      <c r="N107" s="5" t="s">
        <v>100</v>
      </c>
      <c r="O107" s="5">
        <v>1</v>
      </c>
      <c r="P107" s="30">
        <f t="shared" si="21"/>
        <v>0</v>
      </c>
      <c r="Q107" s="30">
        <f t="shared" si="22"/>
        <v>1</v>
      </c>
      <c r="R107" s="30">
        <f t="shared" si="23"/>
        <v>1</v>
      </c>
      <c r="S107" s="5">
        <v>1</v>
      </c>
    </row>
    <row r="108" spans="1:19" x14ac:dyDescent="0.25">
      <c r="A108" s="5">
        <v>104</v>
      </c>
      <c r="B108" s="5" t="s">
        <v>307</v>
      </c>
      <c r="C108" s="7">
        <v>41707</v>
      </c>
      <c r="D108" s="5" t="s">
        <v>308</v>
      </c>
      <c r="E108" s="5">
        <f t="shared" si="18"/>
        <v>2014</v>
      </c>
      <c r="F108" s="5">
        <f t="shared" si="19"/>
        <v>1</v>
      </c>
      <c r="G108" s="5">
        <f t="shared" si="20"/>
        <v>21</v>
      </c>
      <c r="H108" s="5" t="s">
        <v>89</v>
      </c>
      <c r="I108" s="5">
        <v>1</v>
      </c>
      <c r="J108" s="5" t="s">
        <v>126</v>
      </c>
      <c r="K108" s="5">
        <v>1</v>
      </c>
      <c r="L108" s="5" t="s">
        <v>99</v>
      </c>
      <c r="M108" s="5">
        <v>1</v>
      </c>
      <c r="N108" s="5" t="s">
        <v>100</v>
      </c>
      <c r="O108" s="5">
        <v>1</v>
      </c>
      <c r="P108" s="30">
        <f t="shared" si="21"/>
        <v>1</v>
      </c>
      <c r="Q108" s="30">
        <f t="shared" si="22"/>
        <v>1</v>
      </c>
      <c r="R108" s="30">
        <f t="shared" si="23"/>
        <v>1</v>
      </c>
      <c r="S108" s="5">
        <v>1</v>
      </c>
    </row>
    <row r="109" spans="1:19" x14ac:dyDescent="0.25">
      <c r="A109" s="5">
        <v>105</v>
      </c>
      <c r="B109" s="5" t="s">
        <v>309</v>
      </c>
      <c r="C109" s="7">
        <v>41711</v>
      </c>
      <c r="D109" s="5" t="s">
        <v>310</v>
      </c>
      <c r="E109" s="5">
        <f t="shared" si="18"/>
        <v>2014</v>
      </c>
      <c r="F109" s="5">
        <f t="shared" si="19"/>
        <v>1</v>
      </c>
      <c r="G109" s="5">
        <f t="shared" si="20"/>
        <v>21</v>
      </c>
      <c r="H109" s="5" t="s">
        <v>89</v>
      </c>
      <c r="I109" s="5">
        <v>5</v>
      </c>
      <c r="J109" s="5" t="s">
        <v>163</v>
      </c>
      <c r="K109" s="5">
        <v>6</v>
      </c>
      <c r="L109" s="5" t="s">
        <v>91</v>
      </c>
      <c r="M109" s="5">
        <v>1</v>
      </c>
      <c r="N109" s="5" t="s">
        <v>100</v>
      </c>
      <c r="O109" s="5">
        <v>1</v>
      </c>
      <c r="P109" s="30">
        <f t="shared" si="21"/>
        <v>0</v>
      </c>
      <c r="Q109" s="30">
        <f t="shared" si="22"/>
        <v>0</v>
      </c>
      <c r="R109" s="30">
        <f t="shared" si="23"/>
        <v>1</v>
      </c>
      <c r="S109" s="5">
        <v>1</v>
      </c>
    </row>
    <row r="110" spans="1:19" x14ac:dyDescent="0.25">
      <c r="A110" s="5">
        <v>106</v>
      </c>
      <c r="B110" s="5" t="s">
        <v>311</v>
      </c>
      <c r="C110" s="7">
        <v>41730</v>
      </c>
      <c r="D110" s="5" t="s">
        <v>312</v>
      </c>
      <c r="E110" s="5">
        <f t="shared" si="18"/>
        <v>2014</v>
      </c>
      <c r="F110" s="5">
        <f t="shared" si="19"/>
        <v>2</v>
      </c>
      <c r="G110" s="5">
        <f t="shared" si="20"/>
        <v>22</v>
      </c>
      <c r="H110" s="5" t="s">
        <v>89</v>
      </c>
      <c r="I110" s="5">
        <v>3</v>
      </c>
      <c r="J110" s="5" t="s">
        <v>121</v>
      </c>
      <c r="K110" s="5">
        <v>1</v>
      </c>
      <c r="L110" s="5" t="s">
        <v>99</v>
      </c>
      <c r="M110" s="5">
        <v>1</v>
      </c>
      <c r="N110" s="5" t="s">
        <v>100</v>
      </c>
      <c r="O110" s="5">
        <v>2</v>
      </c>
      <c r="P110" s="30">
        <f t="shared" si="21"/>
        <v>0</v>
      </c>
      <c r="Q110" s="30">
        <f t="shared" si="22"/>
        <v>1</v>
      </c>
      <c r="R110" s="30">
        <f t="shared" si="23"/>
        <v>1</v>
      </c>
      <c r="S110" s="5">
        <v>1</v>
      </c>
    </row>
    <row r="111" spans="1:19" x14ac:dyDescent="0.25">
      <c r="A111" s="5">
        <v>107</v>
      </c>
      <c r="B111" s="5" t="s">
        <v>313</v>
      </c>
      <c r="C111" s="7">
        <v>41731</v>
      </c>
      <c r="D111" s="5" t="s">
        <v>314</v>
      </c>
      <c r="E111" s="5">
        <f t="shared" si="18"/>
        <v>2014</v>
      </c>
      <c r="F111" s="5">
        <f t="shared" si="19"/>
        <v>2</v>
      </c>
      <c r="G111" s="5">
        <f t="shared" si="20"/>
        <v>22</v>
      </c>
      <c r="H111" s="5" t="s">
        <v>95</v>
      </c>
      <c r="I111" s="5">
        <v>4</v>
      </c>
      <c r="J111" s="5" t="s">
        <v>104</v>
      </c>
      <c r="K111" s="5">
        <v>1</v>
      </c>
      <c r="L111" s="5" t="s">
        <v>99</v>
      </c>
      <c r="M111" s="5">
        <v>2</v>
      </c>
      <c r="N111" s="5" t="s">
        <v>92</v>
      </c>
      <c r="O111" s="5">
        <v>1</v>
      </c>
      <c r="P111" s="30">
        <f t="shared" si="21"/>
        <v>0</v>
      </c>
      <c r="Q111" s="30">
        <f t="shared" si="22"/>
        <v>1</v>
      </c>
      <c r="R111" s="30">
        <f t="shared" si="23"/>
        <v>0</v>
      </c>
      <c r="S111" s="5">
        <v>1</v>
      </c>
    </row>
    <row r="112" spans="1:19" x14ac:dyDescent="0.25">
      <c r="A112" s="5">
        <v>108</v>
      </c>
      <c r="B112" s="5" t="s">
        <v>315</v>
      </c>
      <c r="C112" s="7">
        <v>41736</v>
      </c>
      <c r="D112" s="5" t="s">
        <v>316</v>
      </c>
      <c r="E112" s="5">
        <f t="shared" si="18"/>
        <v>2014</v>
      </c>
      <c r="F112" s="5">
        <f t="shared" si="19"/>
        <v>2</v>
      </c>
      <c r="G112" s="5">
        <f t="shared" si="20"/>
        <v>22</v>
      </c>
      <c r="H112" s="5" t="s">
        <v>89</v>
      </c>
      <c r="I112" s="5">
        <v>2</v>
      </c>
      <c r="J112" s="5" t="s">
        <v>96</v>
      </c>
      <c r="K112" s="5">
        <v>6</v>
      </c>
      <c r="L112" s="5" t="s">
        <v>91</v>
      </c>
      <c r="M112" s="5">
        <v>1</v>
      </c>
      <c r="N112" s="5" t="s">
        <v>100</v>
      </c>
      <c r="O112" s="5">
        <v>1</v>
      </c>
      <c r="P112" s="30">
        <f t="shared" si="21"/>
        <v>0</v>
      </c>
      <c r="Q112" s="30">
        <f t="shared" si="22"/>
        <v>0</v>
      </c>
      <c r="R112" s="30">
        <f t="shared" si="23"/>
        <v>1</v>
      </c>
      <c r="S112" s="5">
        <v>1</v>
      </c>
    </row>
    <row r="113" spans="1:19" x14ac:dyDescent="0.25">
      <c r="A113" s="5">
        <v>109</v>
      </c>
      <c r="B113" s="5" t="s">
        <v>317</v>
      </c>
      <c r="C113" s="7">
        <v>41747</v>
      </c>
      <c r="D113" s="5" t="s">
        <v>318</v>
      </c>
      <c r="E113" s="5">
        <f t="shared" si="18"/>
        <v>2014</v>
      </c>
      <c r="F113" s="5">
        <f t="shared" si="19"/>
        <v>2</v>
      </c>
      <c r="G113" s="5">
        <f t="shared" si="20"/>
        <v>22</v>
      </c>
      <c r="H113" s="5" t="s">
        <v>95</v>
      </c>
      <c r="I113" s="5">
        <v>6</v>
      </c>
      <c r="J113" s="5" t="s">
        <v>129</v>
      </c>
      <c r="K113" s="5">
        <v>1</v>
      </c>
      <c r="L113" s="5" t="s">
        <v>99</v>
      </c>
      <c r="M113" s="5">
        <v>1</v>
      </c>
      <c r="N113" s="5" t="s">
        <v>100</v>
      </c>
      <c r="O113" s="5">
        <v>3</v>
      </c>
      <c r="P113" s="30">
        <f t="shared" si="21"/>
        <v>1</v>
      </c>
      <c r="Q113" s="30">
        <f t="shared" si="22"/>
        <v>1</v>
      </c>
      <c r="R113" s="30">
        <f t="shared" si="23"/>
        <v>1</v>
      </c>
      <c r="S113" s="5">
        <v>1</v>
      </c>
    </row>
    <row r="114" spans="1:19" x14ac:dyDescent="0.25">
      <c r="A114" s="5">
        <v>110</v>
      </c>
      <c r="B114" s="5" t="s">
        <v>319</v>
      </c>
      <c r="C114" s="7">
        <v>41761</v>
      </c>
      <c r="D114" s="5" t="s">
        <v>320</v>
      </c>
      <c r="E114" s="5">
        <f t="shared" si="18"/>
        <v>2014</v>
      </c>
      <c r="F114" s="5">
        <f t="shared" si="19"/>
        <v>2</v>
      </c>
      <c r="G114" s="5">
        <f t="shared" si="20"/>
        <v>22</v>
      </c>
      <c r="H114" s="5" t="s">
        <v>95</v>
      </c>
      <c r="I114" s="5">
        <v>6</v>
      </c>
      <c r="J114" s="5" t="s">
        <v>129</v>
      </c>
      <c r="K114" s="5">
        <v>1</v>
      </c>
      <c r="L114" s="5" t="s">
        <v>99</v>
      </c>
      <c r="M114" s="5">
        <v>1</v>
      </c>
      <c r="N114" s="5" t="s">
        <v>100</v>
      </c>
      <c r="O114" s="5">
        <v>1</v>
      </c>
      <c r="P114" s="30">
        <f t="shared" si="21"/>
        <v>1</v>
      </c>
      <c r="Q114" s="30">
        <f t="shared" si="22"/>
        <v>1</v>
      </c>
      <c r="R114" s="30">
        <f t="shared" si="23"/>
        <v>1</v>
      </c>
      <c r="S114" s="5">
        <v>1</v>
      </c>
    </row>
    <row r="115" spans="1:19" x14ac:dyDescent="0.25">
      <c r="A115" s="5">
        <v>111</v>
      </c>
      <c r="B115" s="5" t="s">
        <v>321</v>
      </c>
      <c r="C115" s="7">
        <v>41772</v>
      </c>
      <c r="D115" s="5" t="s">
        <v>322</v>
      </c>
      <c r="E115" s="5">
        <f t="shared" si="18"/>
        <v>2014</v>
      </c>
      <c r="F115" s="5">
        <f t="shared" si="19"/>
        <v>2</v>
      </c>
      <c r="G115" s="5">
        <f t="shared" si="20"/>
        <v>22</v>
      </c>
      <c r="H115" s="5" t="s">
        <v>89</v>
      </c>
      <c r="I115" s="5">
        <v>3</v>
      </c>
      <c r="J115" s="5" t="s">
        <v>121</v>
      </c>
      <c r="K115" s="5">
        <v>1</v>
      </c>
      <c r="L115" s="5" t="s">
        <v>99</v>
      </c>
      <c r="M115" s="5">
        <v>1</v>
      </c>
      <c r="N115" s="5" t="s">
        <v>100</v>
      </c>
      <c r="O115" s="5">
        <v>27</v>
      </c>
      <c r="P115" s="30">
        <f t="shared" si="21"/>
        <v>0</v>
      </c>
      <c r="Q115" s="30">
        <f t="shared" si="22"/>
        <v>1</v>
      </c>
      <c r="R115" s="30">
        <f t="shared" si="23"/>
        <v>1</v>
      </c>
      <c r="S115" s="5">
        <v>1</v>
      </c>
    </row>
    <row r="116" spans="1:19" x14ac:dyDescent="0.25">
      <c r="A116" s="5">
        <v>112</v>
      </c>
      <c r="B116" s="5" t="s">
        <v>323</v>
      </c>
      <c r="C116" s="7">
        <v>41811</v>
      </c>
      <c r="D116" s="5" t="s">
        <v>324</v>
      </c>
      <c r="E116" s="5">
        <f t="shared" si="18"/>
        <v>2014</v>
      </c>
      <c r="F116" s="5">
        <f t="shared" si="19"/>
        <v>2</v>
      </c>
      <c r="G116" s="5">
        <f t="shared" si="20"/>
        <v>22</v>
      </c>
      <c r="H116" s="5" t="s">
        <v>89</v>
      </c>
      <c r="I116" s="5">
        <v>7</v>
      </c>
      <c r="J116" s="5" t="s">
        <v>90</v>
      </c>
      <c r="K116" s="5">
        <v>1</v>
      </c>
      <c r="L116" s="5" t="s">
        <v>99</v>
      </c>
      <c r="M116" s="5">
        <v>1</v>
      </c>
      <c r="N116" s="5" t="s">
        <v>100</v>
      </c>
      <c r="O116" s="5">
        <v>2</v>
      </c>
      <c r="P116" s="30">
        <f t="shared" si="21"/>
        <v>1</v>
      </c>
      <c r="Q116" s="30">
        <f t="shared" si="22"/>
        <v>1</v>
      </c>
      <c r="R116" s="30">
        <f t="shared" si="23"/>
        <v>1</v>
      </c>
      <c r="S116" s="5">
        <v>1</v>
      </c>
    </row>
    <row r="117" spans="1:19" x14ac:dyDescent="0.25">
      <c r="A117" s="5">
        <v>113</v>
      </c>
      <c r="B117" s="5" t="s">
        <v>325</v>
      </c>
      <c r="C117" s="7">
        <v>41828</v>
      </c>
      <c r="D117" s="5" t="s">
        <v>233</v>
      </c>
      <c r="E117" s="5">
        <f t="shared" si="18"/>
        <v>2014</v>
      </c>
      <c r="F117" s="5">
        <f t="shared" si="19"/>
        <v>3</v>
      </c>
      <c r="G117" s="5">
        <f t="shared" si="20"/>
        <v>23</v>
      </c>
      <c r="H117" s="5" t="s">
        <v>89</v>
      </c>
      <c r="I117" s="5">
        <v>3</v>
      </c>
      <c r="J117" s="5" t="s">
        <v>121</v>
      </c>
      <c r="K117" s="5">
        <v>1</v>
      </c>
      <c r="L117" s="5" t="s">
        <v>99</v>
      </c>
      <c r="M117" s="5">
        <v>1</v>
      </c>
      <c r="N117" s="5" t="s">
        <v>100</v>
      </c>
      <c r="O117" s="5">
        <v>2</v>
      </c>
      <c r="P117" s="30">
        <f t="shared" si="21"/>
        <v>0</v>
      </c>
      <c r="Q117" s="30">
        <f t="shared" si="22"/>
        <v>1</v>
      </c>
      <c r="R117" s="30">
        <f t="shared" si="23"/>
        <v>1</v>
      </c>
      <c r="S117" s="5">
        <v>1</v>
      </c>
    </row>
    <row r="118" spans="1:19" x14ac:dyDescent="0.25">
      <c r="A118" s="5">
        <v>114</v>
      </c>
      <c r="B118" s="5" t="s">
        <v>326</v>
      </c>
      <c r="C118" s="7">
        <v>41869</v>
      </c>
      <c r="D118" s="5" t="s">
        <v>327</v>
      </c>
      <c r="E118" s="5">
        <f t="shared" si="18"/>
        <v>2014</v>
      </c>
      <c r="F118" s="5">
        <f t="shared" si="19"/>
        <v>3</v>
      </c>
      <c r="G118" s="5">
        <f t="shared" si="20"/>
        <v>23</v>
      </c>
      <c r="H118" s="5" t="s">
        <v>95</v>
      </c>
      <c r="I118" s="5">
        <v>2</v>
      </c>
      <c r="J118" s="5" t="s">
        <v>96</v>
      </c>
      <c r="K118" s="5">
        <v>1</v>
      </c>
      <c r="L118" s="5" t="s">
        <v>99</v>
      </c>
      <c r="M118" s="5">
        <v>2</v>
      </c>
      <c r="N118" s="5" t="s">
        <v>92</v>
      </c>
      <c r="O118" s="5">
        <v>2</v>
      </c>
      <c r="P118" s="30">
        <f t="shared" si="21"/>
        <v>0</v>
      </c>
      <c r="Q118" s="30">
        <f t="shared" si="22"/>
        <v>1</v>
      </c>
      <c r="R118" s="30">
        <f t="shared" si="23"/>
        <v>0</v>
      </c>
      <c r="S118" s="5">
        <v>1</v>
      </c>
    </row>
    <row r="119" spans="1:19" x14ac:dyDescent="0.25">
      <c r="A119" s="5">
        <v>115</v>
      </c>
      <c r="B119" s="5" t="s">
        <v>328</v>
      </c>
      <c r="C119" s="7">
        <v>41870</v>
      </c>
      <c r="D119" s="5" t="s">
        <v>329</v>
      </c>
      <c r="E119" s="5">
        <f t="shared" si="18"/>
        <v>2014</v>
      </c>
      <c r="F119" s="5">
        <f t="shared" si="19"/>
        <v>3</v>
      </c>
      <c r="G119" s="5">
        <f t="shared" si="20"/>
        <v>23</v>
      </c>
      <c r="H119" s="5" t="s">
        <v>89</v>
      </c>
      <c r="I119" s="5">
        <v>3</v>
      </c>
      <c r="J119" s="5" t="s">
        <v>121</v>
      </c>
      <c r="K119" s="5">
        <v>1</v>
      </c>
      <c r="L119" s="5" t="s">
        <v>99</v>
      </c>
      <c r="M119" s="5">
        <v>1</v>
      </c>
      <c r="N119" s="5" t="s">
        <v>100</v>
      </c>
      <c r="O119" s="5">
        <v>1</v>
      </c>
      <c r="P119" s="30">
        <f t="shared" si="21"/>
        <v>0</v>
      </c>
      <c r="Q119" s="30">
        <f t="shared" si="22"/>
        <v>1</v>
      </c>
      <c r="R119" s="30">
        <f t="shared" si="23"/>
        <v>1</v>
      </c>
      <c r="S119" s="5">
        <v>1</v>
      </c>
    </row>
    <row r="120" spans="1:19" x14ac:dyDescent="0.25">
      <c r="A120" s="5">
        <v>116</v>
      </c>
      <c r="B120" s="5" t="s">
        <v>330</v>
      </c>
      <c r="C120" s="7">
        <v>41888</v>
      </c>
      <c r="D120" s="5" t="s">
        <v>331</v>
      </c>
      <c r="E120" s="5">
        <f t="shared" si="18"/>
        <v>2014</v>
      </c>
      <c r="F120" s="5">
        <f t="shared" si="19"/>
        <v>3</v>
      </c>
      <c r="G120" s="5">
        <f t="shared" si="20"/>
        <v>23</v>
      </c>
      <c r="H120" s="5" t="s">
        <v>89</v>
      </c>
      <c r="I120" s="5">
        <v>7</v>
      </c>
      <c r="J120" s="5" t="s">
        <v>90</v>
      </c>
      <c r="K120" s="5">
        <v>1</v>
      </c>
      <c r="L120" s="5" t="s">
        <v>99</v>
      </c>
      <c r="M120" s="5">
        <v>1</v>
      </c>
      <c r="N120" s="5" t="s">
        <v>100</v>
      </c>
      <c r="O120" s="5">
        <v>1</v>
      </c>
      <c r="P120" s="30">
        <f t="shared" si="21"/>
        <v>1</v>
      </c>
      <c r="Q120" s="30">
        <f t="shared" si="22"/>
        <v>1</v>
      </c>
      <c r="R120" s="30">
        <f t="shared" si="23"/>
        <v>1</v>
      </c>
      <c r="S120" s="5">
        <v>1</v>
      </c>
    </row>
    <row r="121" spans="1:19" x14ac:dyDescent="0.25">
      <c r="A121" s="5">
        <v>117</v>
      </c>
      <c r="B121" s="5" t="s">
        <v>332</v>
      </c>
      <c r="C121" s="7">
        <v>41895</v>
      </c>
      <c r="D121" s="5" t="s">
        <v>333</v>
      </c>
      <c r="E121" s="5">
        <f t="shared" si="18"/>
        <v>2014</v>
      </c>
      <c r="F121" s="5">
        <f t="shared" si="19"/>
        <v>3</v>
      </c>
      <c r="G121" s="5">
        <f t="shared" si="20"/>
        <v>23</v>
      </c>
      <c r="H121" s="5" t="s">
        <v>89</v>
      </c>
      <c r="I121" s="5">
        <v>7</v>
      </c>
      <c r="J121" s="5" t="s">
        <v>90</v>
      </c>
      <c r="K121" s="5">
        <v>1</v>
      </c>
      <c r="L121" s="5" t="s">
        <v>99</v>
      </c>
      <c r="M121" s="5">
        <v>1</v>
      </c>
      <c r="N121" s="5" t="s">
        <v>100</v>
      </c>
      <c r="O121" s="5">
        <v>2</v>
      </c>
      <c r="P121" s="30">
        <f t="shared" si="21"/>
        <v>1</v>
      </c>
      <c r="Q121" s="30">
        <f t="shared" si="22"/>
        <v>1</v>
      </c>
      <c r="R121" s="30">
        <f t="shared" si="23"/>
        <v>1</v>
      </c>
      <c r="S121" s="5">
        <v>1</v>
      </c>
    </row>
    <row r="122" spans="1:19" x14ac:dyDescent="0.25">
      <c r="A122" s="5">
        <v>118</v>
      </c>
      <c r="B122" s="5" t="s">
        <v>334</v>
      </c>
      <c r="C122" s="7">
        <v>41910</v>
      </c>
      <c r="D122" s="5" t="s">
        <v>335</v>
      </c>
      <c r="E122" s="5">
        <f t="shared" si="18"/>
        <v>2014</v>
      </c>
      <c r="F122" s="5">
        <f t="shared" si="19"/>
        <v>3</v>
      </c>
      <c r="G122" s="5">
        <f t="shared" si="20"/>
        <v>23</v>
      </c>
      <c r="H122" s="5" t="s">
        <v>89</v>
      </c>
      <c r="I122" s="5">
        <v>1</v>
      </c>
      <c r="J122" s="5" t="s">
        <v>126</v>
      </c>
      <c r="K122" s="5">
        <v>1</v>
      </c>
      <c r="L122" s="5" t="s">
        <v>99</v>
      </c>
      <c r="M122" s="5">
        <v>1</v>
      </c>
      <c r="N122" s="5" t="s">
        <v>100</v>
      </c>
      <c r="O122" s="5">
        <v>2</v>
      </c>
      <c r="P122" s="30">
        <f t="shared" si="21"/>
        <v>1</v>
      </c>
      <c r="Q122" s="30">
        <f t="shared" si="22"/>
        <v>1</v>
      </c>
      <c r="R122" s="30">
        <f t="shared" si="23"/>
        <v>1</v>
      </c>
      <c r="S122" s="5">
        <v>1</v>
      </c>
    </row>
    <row r="123" spans="1:19" x14ac:dyDescent="0.25">
      <c r="A123" s="5">
        <v>119</v>
      </c>
      <c r="B123" s="5" t="s">
        <v>336</v>
      </c>
      <c r="C123" s="7">
        <v>41912</v>
      </c>
      <c r="D123" s="5" t="s">
        <v>337</v>
      </c>
      <c r="E123" s="5">
        <f t="shared" si="18"/>
        <v>2014</v>
      </c>
      <c r="F123" s="5">
        <f t="shared" si="19"/>
        <v>3</v>
      </c>
      <c r="G123" s="5">
        <f t="shared" si="20"/>
        <v>23</v>
      </c>
      <c r="H123" s="5" t="s">
        <v>95</v>
      </c>
      <c r="I123" s="5">
        <v>3</v>
      </c>
      <c r="J123" s="5" t="s">
        <v>121</v>
      </c>
      <c r="K123" s="5">
        <v>6</v>
      </c>
      <c r="L123" s="5" t="s">
        <v>91</v>
      </c>
      <c r="M123" s="5">
        <v>2</v>
      </c>
      <c r="N123" s="5" t="s">
        <v>92</v>
      </c>
      <c r="O123" s="5">
        <v>1</v>
      </c>
      <c r="P123" s="30">
        <f t="shared" si="21"/>
        <v>0</v>
      </c>
      <c r="Q123" s="30">
        <f t="shared" si="22"/>
        <v>0</v>
      </c>
      <c r="R123" s="30">
        <f t="shared" si="23"/>
        <v>0</v>
      </c>
      <c r="S123" s="5">
        <v>1</v>
      </c>
    </row>
    <row r="124" spans="1:19" x14ac:dyDescent="0.25">
      <c r="A124" s="5">
        <v>120</v>
      </c>
      <c r="B124" s="5" t="s">
        <v>338</v>
      </c>
      <c r="C124" s="7">
        <v>41917</v>
      </c>
      <c r="D124" s="5" t="s">
        <v>339</v>
      </c>
      <c r="E124" s="5">
        <f t="shared" si="18"/>
        <v>2014</v>
      </c>
      <c r="F124" s="5">
        <f t="shared" si="19"/>
        <v>4</v>
      </c>
      <c r="G124" s="5">
        <f t="shared" si="20"/>
        <v>24</v>
      </c>
      <c r="H124" s="5" t="s">
        <v>89</v>
      </c>
      <c r="I124" s="5">
        <v>1</v>
      </c>
      <c r="J124" s="5" t="s">
        <v>126</v>
      </c>
      <c r="K124" s="5">
        <v>1</v>
      </c>
      <c r="L124" s="5" t="s">
        <v>99</v>
      </c>
      <c r="M124" s="5">
        <v>2</v>
      </c>
      <c r="N124" s="5" t="s">
        <v>92</v>
      </c>
      <c r="O124" s="5">
        <v>2</v>
      </c>
      <c r="P124" s="30">
        <f t="shared" si="21"/>
        <v>1</v>
      </c>
      <c r="Q124" s="30">
        <f t="shared" si="22"/>
        <v>1</v>
      </c>
      <c r="R124" s="30">
        <f t="shared" si="23"/>
        <v>0</v>
      </c>
      <c r="S124" s="5">
        <v>1</v>
      </c>
    </row>
    <row r="125" spans="1:19" x14ac:dyDescent="0.25">
      <c r="A125" s="5">
        <v>121</v>
      </c>
      <c r="B125" s="5" t="s">
        <v>340</v>
      </c>
      <c r="C125" s="7">
        <v>41971</v>
      </c>
      <c r="D125" s="5" t="s">
        <v>341</v>
      </c>
      <c r="E125" s="5">
        <f t="shared" si="18"/>
        <v>2014</v>
      </c>
      <c r="F125" s="5">
        <f t="shared" si="19"/>
        <v>4</v>
      </c>
      <c r="G125" s="5">
        <f t="shared" si="20"/>
        <v>24</v>
      </c>
      <c r="H125" s="5" t="s">
        <v>89</v>
      </c>
      <c r="I125" s="5">
        <v>6</v>
      </c>
      <c r="J125" s="5" t="s">
        <v>129</v>
      </c>
      <c r="K125" s="5">
        <v>1</v>
      </c>
      <c r="L125" s="5" t="s">
        <v>99</v>
      </c>
      <c r="M125" s="5">
        <v>1</v>
      </c>
      <c r="N125" s="5" t="s">
        <v>100</v>
      </c>
      <c r="O125" s="5">
        <v>4</v>
      </c>
      <c r="P125" s="30">
        <f t="shared" si="21"/>
        <v>1</v>
      </c>
      <c r="Q125" s="30">
        <f t="shared" si="22"/>
        <v>1</v>
      </c>
      <c r="R125" s="30">
        <f t="shared" si="23"/>
        <v>1</v>
      </c>
      <c r="S125" s="5">
        <v>1</v>
      </c>
    </row>
    <row r="126" spans="1:19" x14ac:dyDescent="0.25">
      <c r="A126" s="5">
        <v>122</v>
      </c>
      <c r="B126" s="5" t="s">
        <v>342</v>
      </c>
      <c r="C126" s="7">
        <v>41973</v>
      </c>
      <c r="D126" s="5" t="s">
        <v>343</v>
      </c>
      <c r="E126" s="5">
        <f t="shared" si="18"/>
        <v>2014</v>
      </c>
      <c r="F126" s="5">
        <f t="shared" si="19"/>
        <v>4</v>
      </c>
      <c r="G126" s="5">
        <f t="shared" si="20"/>
        <v>24</v>
      </c>
      <c r="H126" s="5" t="s">
        <v>89</v>
      </c>
      <c r="I126" s="5">
        <v>1</v>
      </c>
      <c r="J126" s="5" t="s">
        <v>126</v>
      </c>
      <c r="K126" s="5">
        <v>1</v>
      </c>
      <c r="L126" s="5" t="s">
        <v>99</v>
      </c>
      <c r="M126" s="5">
        <v>1</v>
      </c>
      <c r="N126" s="5" t="s">
        <v>100</v>
      </c>
      <c r="O126" s="5">
        <v>5</v>
      </c>
      <c r="P126" s="30">
        <f t="shared" si="21"/>
        <v>1</v>
      </c>
      <c r="Q126" s="30">
        <f t="shared" si="22"/>
        <v>1</v>
      </c>
      <c r="R126" s="30">
        <f t="shared" si="23"/>
        <v>1</v>
      </c>
      <c r="S126" s="5">
        <v>1</v>
      </c>
    </row>
    <row r="127" spans="1:19" x14ac:dyDescent="0.25">
      <c r="A127" s="5">
        <v>123</v>
      </c>
      <c r="B127" s="5" t="s">
        <v>344</v>
      </c>
      <c r="C127" s="7">
        <v>42048</v>
      </c>
      <c r="D127" s="5" t="s">
        <v>345</v>
      </c>
      <c r="E127" s="5">
        <f t="shared" si="18"/>
        <v>2015</v>
      </c>
      <c r="F127" s="5">
        <f t="shared" si="19"/>
        <v>1</v>
      </c>
      <c r="G127" s="5">
        <f t="shared" si="20"/>
        <v>25</v>
      </c>
      <c r="H127" s="5" t="s">
        <v>89</v>
      </c>
      <c r="I127" s="5">
        <v>6</v>
      </c>
      <c r="J127" s="5" t="s">
        <v>129</v>
      </c>
      <c r="K127" s="5">
        <v>1</v>
      </c>
      <c r="L127" s="5" t="s">
        <v>99</v>
      </c>
      <c r="M127" s="5">
        <v>2</v>
      </c>
      <c r="N127" s="5" t="s">
        <v>92</v>
      </c>
      <c r="O127" s="5">
        <v>1</v>
      </c>
      <c r="P127" s="30">
        <f t="shared" si="21"/>
        <v>1</v>
      </c>
      <c r="Q127" s="30">
        <f t="shared" si="22"/>
        <v>1</v>
      </c>
      <c r="R127" s="30">
        <f t="shared" si="23"/>
        <v>0</v>
      </c>
      <c r="S127" s="5">
        <v>1</v>
      </c>
    </row>
    <row r="128" spans="1:19" x14ac:dyDescent="0.25">
      <c r="A128" s="5">
        <v>124</v>
      </c>
      <c r="B128" s="5" t="s">
        <v>346</v>
      </c>
      <c r="C128" s="7">
        <v>42185</v>
      </c>
      <c r="D128" s="5" t="s">
        <v>347</v>
      </c>
      <c r="E128" s="5">
        <f t="shared" si="18"/>
        <v>2015</v>
      </c>
      <c r="F128" s="5">
        <f t="shared" si="19"/>
        <v>2</v>
      </c>
      <c r="G128" s="5">
        <f t="shared" si="20"/>
        <v>26</v>
      </c>
      <c r="H128" s="5" t="s">
        <v>162</v>
      </c>
      <c r="I128" s="5">
        <v>3</v>
      </c>
      <c r="J128" s="5" t="s">
        <v>121</v>
      </c>
      <c r="K128" s="5">
        <v>1</v>
      </c>
      <c r="L128" s="5" t="s">
        <v>99</v>
      </c>
      <c r="M128" s="5">
        <v>1</v>
      </c>
      <c r="N128" s="5" t="s">
        <v>100</v>
      </c>
      <c r="O128" s="5">
        <v>1</v>
      </c>
      <c r="P128" s="30">
        <f t="shared" si="21"/>
        <v>0</v>
      </c>
      <c r="Q128" s="30">
        <f t="shared" si="22"/>
        <v>1</v>
      </c>
      <c r="R128" s="30">
        <f t="shared" si="23"/>
        <v>1</v>
      </c>
      <c r="S128" s="5">
        <v>1</v>
      </c>
    </row>
    <row r="129" spans="1:19" x14ac:dyDescent="0.25">
      <c r="A129" s="5">
        <v>125</v>
      </c>
      <c r="B129" s="5" t="s">
        <v>348</v>
      </c>
      <c r="C129" s="7">
        <v>42214</v>
      </c>
      <c r="D129" s="5" t="s">
        <v>349</v>
      </c>
      <c r="E129" s="5">
        <f t="shared" si="18"/>
        <v>2015</v>
      </c>
      <c r="F129" s="5">
        <f t="shared" si="19"/>
        <v>3</v>
      </c>
      <c r="G129" s="5">
        <f t="shared" si="20"/>
        <v>27</v>
      </c>
      <c r="H129" s="5" t="s">
        <v>89</v>
      </c>
      <c r="I129" s="5">
        <v>4</v>
      </c>
      <c r="J129" s="5" t="s">
        <v>104</v>
      </c>
      <c r="K129" s="5">
        <v>1</v>
      </c>
      <c r="L129" s="5" t="s">
        <v>99</v>
      </c>
      <c r="M129" s="5">
        <v>1</v>
      </c>
      <c r="N129" s="5" t="s">
        <v>100</v>
      </c>
      <c r="O129" s="5">
        <v>1</v>
      </c>
      <c r="P129" s="30">
        <f t="shared" si="21"/>
        <v>0</v>
      </c>
      <c r="Q129" s="30">
        <f t="shared" si="22"/>
        <v>1</v>
      </c>
      <c r="R129" s="30">
        <f t="shared" si="23"/>
        <v>1</v>
      </c>
      <c r="S129" s="5">
        <v>1</v>
      </c>
    </row>
    <row r="130" spans="1:19" x14ac:dyDescent="0.25">
      <c r="A130" s="5">
        <v>126</v>
      </c>
      <c r="B130" s="5" t="s">
        <v>350</v>
      </c>
      <c r="C130" s="7">
        <v>42218</v>
      </c>
      <c r="D130" s="5" t="s">
        <v>351</v>
      </c>
      <c r="E130" s="5">
        <f t="shared" si="18"/>
        <v>2015</v>
      </c>
      <c r="F130" s="5">
        <f t="shared" si="19"/>
        <v>3</v>
      </c>
      <c r="G130" s="5">
        <f t="shared" si="20"/>
        <v>27</v>
      </c>
      <c r="H130" s="5" t="s">
        <v>95</v>
      </c>
      <c r="I130" s="5">
        <v>1</v>
      </c>
      <c r="J130" s="5" t="s">
        <v>126</v>
      </c>
      <c r="K130" s="5">
        <v>6</v>
      </c>
      <c r="L130" s="5" t="s">
        <v>91</v>
      </c>
      <c r="M130" s="5">
        <v>1</v>
      </c>
      <c r="N130" s="5" t="s">
        <v>100</v>
      </c>
      <c r="O130" s="5">
        <v>2</v>
      </c>
      <c r="P130" s="30">
        <f t="shared" si="21"/>
        <v>1</v>
      </c>
      <c r="Q130" s="30">
        <f t="shared" si="22"/>
        <v>0</v>
      </c>
      <c r="R130" s="30">
        <f t="shared" si="23"/>
        <v>1</v>
      </c>
      <c r="S130" s="5">
        <v>1</v>
      </c>
    </row>
    <row r="131" spans="1:19" x14ac:dyDescent="0.25">
      <c r="A131" s="5">
        <v>127</v>
      </c>
      <c r="B131" s="5" t="s">
        <v>352</v>
      </c>
      <c r="C131" s="7">
        <v>42223</v>
      </c>
      <c r="D131" s="5" t="s">
        <v>353</v>
      </c>
      <c r="E131" s="5">
        <f t="shared" si="18"/>
        <v>2015</v>
      </c>
      <c r="F131" s="5">
        <f t="shared" si="19"/>
        <v>3</v>
      </c>
      <c r="G131" s="5">
        <f t="shared" si="20"/>
        <v>27</v>
      </c>
      <c r="H131" s="5" t="s">
        <v>89</v>
      </c>
      <c r="I131" s="5">
        <v>6</v>
      </c>
      <c r="J131" s="5" t="s">
        <v>129</v>
      </c>
      <c r="K131" s="5">
        <v>6</v>
      </c>
      <c r="L131" s="5" t="s">
        <v>91</v>
      </c>
      <c r="M131" s="5">
        <v>1</v>
      </c>
      <c r="N131" s="5" t="s">
        <v>100</v>
      </c>
      <c r="O131" s="5">
        <v>1</v>
      </c>
      <c r="P131" s="30">
        <f t="shared" si="21"/>
        <v>1</v>
      </c>
      <c r="Q131" s="30">
        <f t="shared" si="22"/>
        <v>0</v>
      </c>
      <c r="R131" s="30">
        <f t="shared" si="23"/>
        <v>1</v>
      </c>
      <c r="S131" s="5">
        <v>1</v>
      </c>
    </row>
    <row r="132" spans="1:19" x14ac:dyDescent="0.25">
      <c r="A132" s="5">
        <v>128</v>
      </c>
      <c r="B132" s="5" t="s">
        <v>354</v>
      </c>
      <c r="C132" s="7">
        <v>42225</v>
      </c>
      <c r="D132" s="5" t="s">
        <v>355</v>
      </c>
      <c r="E132" s="5">
        <f t="shared" si="18"/>
        <v>2015</v>
      </c>
      <c r="F132" s="5">
        <f t="shared" si="19"/>
        <v>3</v>
      </c>
      <c r="G132" s="5">
        <f t="shared" si="20"/>
        <v>27</v>
      </c>
      <c r="H132" s="5" t="s">
        <v>89</v>
      </c>
      <c r="I132" s="5">
        <v>1</v>
      </c>
      <c r="J132" s="5" t="s">
        <v>126</v>
      </c>
      <c r="K132" s="5">
        <v>6</v>
      </c>
      <c r="L132" s="5" t="s">
        <v>91</v>
      </c>
      <c r="M132" s="5">
        <v>2</v>
      </c>
      <c r="N132" s="5" t="s">
        <v>92</v>
      </c>
      <c r="O132" s="5">
        <v>1</v>
      </c>
      <c r="P132" s="30">
        <f t="shared" si="21"/>
        <v>1</v>
      </c>
      <c r="Q132" s="30">
        <f t="shared" si="22"/>
        <v>0</v>
      </c>
      <c r="R132" s="30">
        <f t="shared" si="23"/>
        <v>0</v>
      </c>
      <c r="S132" s="5">
        <v>1</v>
      </c>
    </row>
    <row r="133" spans="1:19" x14ac:dyDescent="0.25">
      <c r="A133" s="5">
        <v>129</v>
      </c>
      <c r="B133" s="5" t="s">
        <v>356</v>
      </c>
      <c r="C133" s="7">
        <v>42312</v>
      </c>
      <c r="D133" s="5" t="s">
        <v>357</v>
      </c>
      <c r="E133" s="5">
        <f t="shared" ref="E133:E164" si="24">YEAR(C133)</f>
        <v>2015</v>
      </c>
      <c r="F133" s="5">
        <f t="shared" ref="F133:F164" si="25">ROUNDUP(MONTH(C133)/3,0)</f>
        <v>4</v>
      </c>
      <c r="G133" s="5">
        <f t="shared" ref="G133:G164" si="26">(E133-2009)*4+F133</f>
        <v>28</v>
      </c>
      <c r="H133" s="5" t="s">
        <v>89</v>
      </c>
      <c r="I133" s="5">
        <v>4</v>
      </c>
      <c r="J133" s="5" t="s">
        <v>104</v>
      </c>
      <c r="K133" s="5">
        <v>6</v>
      </c>
      <c r="L133" s="5" t="s">
        <v>91</v>
      </c>
      <c r="M133" s="5">
        <v>2</v>
      </c>
      <c r="N133" s="5" t="s">
        <v>92</v>
      </c>
      <c r="O133" s="5">
        <v>3</v>
      </c>
      <c r="P133" s="30">
        <f t="shared" ref="P133:P164" si="27">IF(OR(I133=1,I133=6,I133=7),1,0)</f>
        <v>0</v>
      </c>
      <c r="Q133" s="30">
        <f t="shared" ref="Q133:Q164" si="28">IF(K133=1,1,0)</f>
        <v>0</v>
      </c>
      <c r="R133" s="30">
        <f t="shared" ref="R133:R164" si="29">IF(M133=1,1,0)</f>
        <v>0</v>
      </c>
      <c r="S133" s="5">
        <v>1</v>
      </c>
    </row>
    <row r="134" spans="1:19" x14ac:dyDescent="0.25">
      <c r="A134" s="5">
        <v>130</v>
      </c>
      <c r="B134" s="5" t="s">
        <v>358</v>
      </c>
      <c r="C134" s="7">
        <v>42364</v>
      </c>
      <c r="D134" s="5" t="s">
        <v>359</v>
      </c>
      <c r="E134" s="5">
        <f t="shared" si="24"/>
        <v>2015</v>
      </c>
      <c r="F134" s="5">
        <f t="shared" si="25"/>
        <v>4</v>
      </c>
      <c r="G134" s="5">
        <f t="shared" si="26"/>
        <v>28</v>
      </c>
      <c r="H134" s="5" t="s">
        <v>95</v>
      </c>
      <c r="I134" s="5">
        <v>7</v>
      </c>
      <c r="J134" s="5" t="s">
        <v>90</v>
      </c>
      <c r="K134" s="5">
        <v>6</v>
      </c>
      <c r="L134" s="5" t="s">
        <v>91</v>
      </c>
      <c r="M134" s="5">
        <v>1</v>
      </c>
      <c r="N134" s="5" t="s">
        <v>100</v>
      </c>
      <c r="O134" s="5">
        <v>5</v>
      </c>
      <c r="P134" s="30">
        <f t="shared" si="27"/>
        <v>1</v>
      </c>
      <c r="Q134" s="30">
        <f t="shared" si="28"/>
        <v>0</v>
      </c>
      <c r="R134" s="30">
        <f t="shared" si="29"/>
        <v>1</v>
      </c>
      <c r="S134" s="5">
        <v>1</v>
      </c>
    </row>
    <row r="135" spans="1:19" x14ac:dyDescent="0.25">
      <c r="A135" s="5">
        <v>131</v>
      </c>
      <c r="B135" s="5" t="s">
        <v>360</v>
      </c>
      <c r="C135" s="7">
        <v>42372</v>
      </c>
      <c r="D135" s="5" t="s">
        <v>361</v>
      </c>
      <c r="E135" s="5">
        <f t="shared" si="24"/>
        <v>2016</v>
      </c>
      <c r="F135" s="5">
        <f t="shared" si="25"/>
        <v>1</v>
      </c>
      <c r="G135" s="5">
        <f t="shared" si="26"/>
        <v>29</v>
      </c>
      <c r="H135" s="5" t="s">
        <v>162</v>
      </c>
      <c r="I135" s="5">
        <v>1</v>
      </c>
      <c r="J135" s="5" t="s">
        <v>126</v>
      </c>
      <c r="K135" s="5">
        <v>6</v>
      </c>
      <c r="L135" s="5" t="s">
        <v>91</v>
      </c>
      <c r="M135" s="5">
        <v>2</v>
      </c>
      <c r="N135" s="5" t="s">
        <v>92</v>
      </c>
      <c r="O135" s="5">
        <v>3</v>
      </c>
      <c r="P135" s="30">
        <f t="shared" si="27"/>
        <v>1</v>
      </c>
      <c r="Q135" s="30">
        <f t="shared" si="28"/>
        <v>0</v>
      </c>
      <c r="R135" s="30">
        <f t="shared" si="29"/>
        <v>0</v>
      </c>
      <c r="S135" s="5">
        <v>1</v>
      </c>
    </row>
    <row r="136" spans="1:19" x14ac:dyDescent="0.25">
      <c r="A136" s="5">
        <v>132</v>
      </c>
      <c r="B136" s="5" t="s">
        <v>362</v>
      </c>
      <c r="C136" s="7">
        <v>42394</v>
      </c>
      <c r="D136" s="5" t="s">
        <v>363</v>
      </c>
      <c r="E136" s="5">
        <f t="shared" si="24"/>
        <v>2016</v>
      </c>
      <c r="F136" s="5">
        <f t="shared" si="25"/>
        <v>1</v>
      </c>
      <c r="G136" s="5">
        <f t="shared" si="26"/>
        <v>29</v>
      </c>
      <c r="H136" s="5" t="s">
        <v>89</v>
      </c>
      <c r="I136" s="5">
        <v>2</v>
      </c>
      <c r="J136" s="5" t="s">
        <v>96</v>
      </c>
      <c r="K136" s="5">
        <v>6</v>
      </c>
      <c r="L136" s="5" t="s">
        <v>91</v>
      </c>
      <c r="M136" s="5">
        <v>1</v>
      </c>
      <c r="N136" s="5" t="s">
        <v>100</v>
      </c>
      <c r="O136" s="5">
        <v>1</v>
      </c>
      <c r="P136" s="30">
        <f t="shared" si="27"/>
        <v>0</v>
      </c>
      <c r="Q136" s="30">
        <f t="shared" si="28"/>
        <v>0</v>
      </c>
      <c r="R136" s="30">
        <f t="shared" si="29"/>
        <v>1</v>
      </c>
      <c r="S136" s="5">
        <v>1</v>
      </c>
    </row>
    <row r="137" spans="1:19" x14ac:dyDescent="0.25">
      <c r="A137" s="5">
        <v>133</v>
      </c>
      <c r="B137" s="5" t="s">
        <v>364</v>
      </c>
      <c r="C137" s="7">
        <v>42401</v>
      </c>
      <c r="D137" s="5" t="s">
        <v>365</v>
      </c>
      <c r="E137" s="5">
        <f t="shared" si="24"/>
        <v>2016</v>
      </c>
      <c r="F137" s="5">
        <f t="shared" si="25"/>
        <v>1</v>
      </c>
      <c r="G137" s="5">
        <f t="shared" si="26"/>
        <v>29</v>
      </c>
      <c r="H137" s="5" t="s">
        <v>89</v>
      </c>
      <c r="I137" s="5">
        <v>2</v>
      </c>
      <c r="J137" s="5" t="s">
        <v>96</v>
      </c>
      <c r="K137" s="5">
        <v>1</v>
      </c>
      <c r="L137" s="5" t="s">
        <v>99</v>
      </c>
      <c r="M137" s="5">
        <v>2</v>
      </c>
      <c r="N137" s="5" t="s">
        <v>92</v>
      </c>
      <c r="O137" s="5">
        <v>1</v>
      </c>
      <c r="P137" s="30">
        <f t="shared" si="27"/>
        <v>0</v>
      </c>
      <c r="Q137" s="30">
        <f t="shared" si="28"/>
        <v>1</v>
      </c>
      <c r="R137" s="30">
        <f t="shared" si="29"/>
        <v>0</v>
      </c>
      <c r="S137" s="5">
        <v>1</v>
      </c>
    </row>
    <row r="138" spans="1:19" x14ac:dyDescent="0.25">
      <c r="A138" s="5">
        <v>134</v>
      </c>
      <c r="B138" s="5" t="s">
        <v>366</v>
      </c>
      <c r="C138" s="7">
        <v>42449</v>
      </c>
      <c r="D138" s="5" t="s">
        <v>367</v>
      </c>
      <c r="E138" s="5">
        <f t="shared" si="24"/>
        <v>2016</v>
      </c>
      <c r="F138" s="5">
        <f t="shared" si="25"/>
        <v>1</v>
      </c>
      <c r="G138" s="5">
        <f t="shared" si="26"/>
        <v>29</v>
      </c>
      <c r="H138" s="5" t="s">
        <v>89</v>
      </c>
      <c r="I138" s="5">
        <v>1</v>
      </c>
      <c r="J138" s="5" t="s">
        <v>126</v>
      </c>
      <c r="K138" s="5">
        <v>4</v>
      </c>
      <c r="L138" s="5" t="s">
        <v>142</v>
      </c>
      <c r="M138" s="5">
        <v>1</v>
      </c>
      <c r="N138" s="5" t="s">
        <v>100</v>
      </c>
      <c r="O138" s="5">
        <v>1</v>
      </c>
      <c r="P138" s="30">
        <f t="shared" si="27"/>
        <v>1</v>
      </c>
      <c r="Q138" s="30">
        <f t="shared" si="28"/>
        <v>0</v>
      </c>
      <c r="R138" s="30">
        <f t="shared" si="29"/>
        <v>1</v>
      </c>
      <c r="S138" s="5">
        <v>1</v>
      </c>
    </row>
    <row r="139" spans="1:19" x14ac:dyDescent="0.25">
      <c r="A139" s="5">
        <v>135</v>
      </c>
      <c r="B139" s="5" t="s">
        <v>368</v>
      </c>
      <c r="C139" s="7">
        <v>42487</v>
      </c>
      <c r="D139" s="5" t="s">
        <v>369</v>
      </c>
      <c r="E139" s="5">
        <f t="shared" si="24"/>
        <v>2016</v>
      </c>
      <c r="F139" s="5">
        <f t="shared" si="25"/>
        <v>2</v>
      </c>
      <c r="G139" s="5">
        <f t="shared" si="26"/>
        <v>30</v>
      </c>
      <c r="H139" s="5" t="s">
        <v>89</v>
      </c>
      <c r="I139" s="5">
        <v>4</v>
      </c>
      <c r="J139" s="5" t="s">
        <v>104</v>
      </c>
      <c r="K139" s="5">
        <v>1</v>
      </c>
      <c r="L139" s="5" t="s">
        <v>99</v>
      </c>
      <c r="M139" s="5">
        <v>2</v>
      </c>
      <c r="N139" s="5" t="s">
        <v>92</v>
      </c>
      <c r="O139" s="5">
        <v>1</v>
      </c>
      <c r="P139" s="30">
        <f t="shared" si="27"/>
        <v>0</v>
      </c>
      <c r="Q139" s="30">
        <f t="shared" si="28"/>
        <v>1</v>
      </c>
      <c r="R139" s="30">
        <f t="shared" si="29"/>
        <v>0</v>
      </c>
      <c r="S139" s="5">
        <v>1</v>
      </c>
    </row>
    <row r="140" spans="1:19" x14ac:dyDescent="0.25">
      <c r="A140" s="5">
        <v>136</v>
      </c>
      <c r="B140" s="5" t="s">
        <v>370</v>
      </c>
      <c r="C140" s="7">
        <v>42517</v>
      </c>
      <c r="D140" s="5" t="s">
        <v>371</v>
      </c>
      <c r="E140" s="5">
        <f t="shared" si="24"/>
        <v>2016</v>
      </c>
      <c r="F140" s="5">
        <f t="shared" si="25"/>
        <v>2</v>
      </c>
      <c r="G140" s="5">
        <f t="shared" si="26"/>
        <v>30</v>
      </c>
      <c r="H140" s="5" t="s">
        <v>89</v>
      </c>
      <c r="I140" s="5">
        <v>6</v>
      </c>
      <c r="J140" s="5" t="s">
        <v>129</v>
      </c>
      <c r="K140" s="5">
        <v>1</v>
      </c>
      <c r="L140" s="5" t="s">
        <v>99</v>
      </c>
      <c r="M140" s="5">
        <v>1</v>
      </c>
      <c r="N140" s="5" t="s">
        <v>100</v>
      </c>
      <c r="O140" s="5">
        <v>4</v>
      </c>
      <c r="P140" s="30">
        <f t="shared" si="27"/>
        <v>1</v>
      </c>
      <c r="Q140" s="30">
        <f t="shared" si="28"/>
        <v>1</v>
      </c>
      <c r="R140" s="30">
        <f t="shared" si="29"/>
        <v>1</v>
      </c>
      <c r="S140" s="5">
        <v>1</v>
      </c>
    </row>
    <row r="141" spans="1:19" x14ac:dyDescent="0.25">
      <c r="A141" s="5">
        <v>137</v>
      </c>
      <c r="B141" s="5" t="s">
        <v>372</v>
      </c>
      <c r="C141" s="7">
        <v>42549</v>
      </c>
      <c r="D141" s="5" t="s">
        <v>373</v>
      </c>
      <c r="E141" s="5">
        <f t="shared" si="24"/>
        <v>2016</v>
      </c>
      <c r="F141" s="5">
        <f t="shared" si="25"/>
        <v>2</v>
      </c>
      <c r="G141" s="5">
        <f t="shared" si="26"/>
        <v>30</v>
      </c>
      <c r="H141" s="5" t="s">
        <v>89</v>
      </c>
      <c r="I141" s="5">
        <v>3</v>
      </c>
      <c r="J141" s="5" t="s">
        <v>121</v>
      </c>
      <c r="K141" s="5">
        <v>1</v>
      </c>
      <c r="L141" s="5" t="s">
        <v>99</v>
      </c>
      <c r="M141" s="5">
        <v>1</v>
      </c>
      <c r="N141" s="5" t="s">
        <v>100</v>
      </c>
      <c r="O141" s="5">
        <v>1</v>
      </c>
      <c r="P141" s="30">
        <f t="shared" si="27"/>
        <v>0</v>
      </c>
      <c r="Q141" s="30">
        <f t="shared" si="28"/>
        <v>1</v>
      </c>
      <c r="R141" s="30">
        <f t="shared" si="29"/>
        <v>1</v>
      </c>
      <c r="S141" s="5">
        <v>1</v>
      </c>
    </row>
    <row r="142" spans="1:19" x14ac:dyDescent="0.25">
      <c r="A142" s="5">
        <v>138</v>
      </c>
      <c r="B142" s="5" t="s">
        <v>374</v>
      </c>
      <c r="C142" s="7">
        <v>42549</v>
      </c>
      <c r="D142" s="5" t="s">
        <v>375</v>
      </c>
      <c r="E142" s="5">
        <f t="shared" si="24"/>
        <v>2016</v>
      </c>
      <c r="F142" s="5">
        <f t="shared" si="25"/>
        <v>2</v>
      </c>
      <c r="G142" s="5">
        <f t="shared" si="26"/>
        <v>30</v>
      </c>
      <c r="H142" s="5" t="s">
        <v>89</v>
      </c>
      <c r="I142" s="5">
        <v>3</v>
      </c>
      <c r="J142" s="5" t="s">
        <v>121</v>
      </c>
      <c r="K142" s="5">
        <v>1</v>
      </c>
      <c r="L142" s="5" t="s">
        <v>99</v>
      </c>
      <c r="M142" s="5">
        <v>1</v>
      </c>
      <c r="N142" s="5" t="s">
        <v>100</v>
      </c>
      <c r="O142" s="5">
        <v>1</v>
      </c>
      <c r="P142" s="30">
        <f t="shared" si="27"/>
        <v>0</v>
      </c>
      <c r="Q142" s="30">
        <f t="shared" si="28"/>
        <v>1</v>
      </c>
      <c r="R142" s="30">
        <f t="shared" si="29"/>
        <v>1</v>
      </c>
      <c r="S142" s="5">
        <v>1</v>
      </c>
    </row>
    <row r="143" spans="1:19" x14ac:dyDescent="0.25">
      <c r="A143" s="5">
        <v>139</v>
      </c>
      <c r="B143" s="5" t="s">
        <v>376</v>
      </c>
      <c r="C143" s="7">
        <v>42570</v>
      </c>
      <c r="D143" s="5" t="s">
        <v>377</v>
      </c>
      <c r="E143" s="5">
        <f t="shared" si="24"/>
        <v>2016</v>
      </c>
      <c r="F143" s="5">
        <f t="shared" si="25"/>
        <v>3</v>
      </c>
      <c r="G143" s="5">
        <f t="shared" si="26"/>
        <v>31</v>
      </c>
      <c r="H143" s="5" t="s">
        <v>162</v>
      </c>
      <c r="I143" s="5">
        <v>3</v>
      </c>
      <c r="J143" s="5" t="s">
        <v>121</v>
      </c>
      <c r="K143" s="5">
        <v>6</v>
      </c>
      <c r="L143" s="5" t="s">
        <v>91</v>
      </c>
      <c r="M143" s="5">
        <v>1</v>
      </c>
      <c r="N143" s="5" t="s">
        <v>100</v>
      </c>
      <c r="O143" s="5">
        <v>1</v>
      </c>
      <c r="P143" s="30">
        <f t="shared" si="27"/>
        <v>0</v>
      </c>
      <c r="Q143" s="30">
        <f t="shared" si="28"/>
        <v>0</v>
      </c>
      <c r="R143" s="30">
        <f t="shared" si="29"/>
        <v>1</v>
      </c>
      <c r="S143" s="5">
        <v>1</v>
      </c>
    </row>
    <row r="144" spans="1:19" x14ac:dyDescent="0.25">
      <c r="A144" s="5">
        <v>140</v>
      </c>
      <c r="B144" s="5" t="s">
        <v>378</v>
      </c>
      <c r="C144" s="7">
        <v>42588</v>
      </c>
      <c r="D144" s="5" t="s">
        <v>379</v>
      </c>
      <c r="E144" s="5">
        <f t="shared" si="24"/>
        <v>2016</v>
      </c>
      <c r="F144" s="5">
        <f t="shared" si="25"/>
        <v>3</v>
      </c>
      <c r="G144" s="5">
        <f t="shared" si="26"/>
        <v>31</v>
      </c>
      <c r="H144" s="5" t="s">
        <v>162</v>
      </c>
      <c r="I144" s="5">
        <v>7</v>
      </c>
      <c r="J144" s="5" t="s">
        <v>90</v>
      </c>
      <c r="K144" s="5">
        <v>4</v>
      </c>
      <c r="L144" s="5" t="s">
        <v>142</v>
      </c>
      <c r="M144" s="5">
        <v>2</v>
      </c>
      <c r="N144" s="5" t="s">
        <v>92</v>
      </c>
      <c r="O144" s="5">
        <v>1</v>
      </c>
      <c r="P144" s="30">
        <f t="shared" si="27"/>
        <v>1</v>
      </c>
      <c r="Q144" s="30">
        <f t="shared" si="28"/>
        <v>0</v>
      </c>
      <c r="R144" s="30">
        <f t="shared" si="29"/>
        <v>0</v>
      </c>
      <c r="S144" s="5">
        <v>1</v>
      </c>
    </row>
    <row r="145" spans="1:19" x14ac:dyDescent="0.25">
      <c r="A145" s="5">
        <v>141</v>
      </c>
      <c r="B145" s="5" t="s">
        <v>380</v>
      </c>
      <c r="C145" s="7">
        <v>42590</v>
      </c>
      <c r="D145" s="5" t="s">
        <v>381</v>
      </c>
      <c r="E145" s="5">
        <f t="shared" si="24"/>
        <v>2016</v>
      </c>
      <c r="F145" s="5">
        <f t="shared" si="25"/>
        <v>3</v>
      </c>
      <c r="G145" s="5">
        <f t="shared" si="26"/>
        <v>31</v>
      </c>
      <c r="H145" s="5" t="s">
        <v>89</v>
      </c>
      <c r="I145" s="5">
        <v>2</v>
      </c>
      <c r="J145" s="5" t="s">
        <v>96</v>
      </c>
      <c r="K145" s="5">
        <v>1</v>
      </c>
      <c r="L145" s="5" t="s">
        <v>99</v>
      </c>
      <c r="M145" s="5">
        <v>1</v>
      </c>
      <c r="N145" s="5" t="s">
        <v>100</v>
      </c>
      <c r="O145" s="5">
        <v>2</v>
      </c>
      <c r="P145" s="30">
        <f t="shared" si="27"/>
        <v>0</v>
      </c>
      <c r="Q145" s="30">
        <f t="shared" si="28"/>
        <v>1</v>
      </c>
      <c r="R145" s="30">
        <f t="shared" si="29"/>
        <v>1</v>
      </c>
      <c r="S145" s="5">
        <v>1</v>
      </c>
    </row>
    <row r="146" spans="1:19" x14ac:dyDescent="0.25">
      <c r="A146" s="5">
        <v>142</v>
      </c>
      <c r="B146" s="5" t="s">
        <v>382</v>
      </c>
      <c r="C146" s="7">
        <v>42594</v>
      </c>
      <c r="D146" s="5" t="s">
        <v>383</v>
      </c>
      <c r="E146" s="5">
        <f t="shared" si="24"/>
        <v>2016</v>
      </c>
      <c r="F146" s="5">
        <f t="shared" si="25"/>
        <v>3</v>
      </c>
      <c r="G146" s="5">
        <f t="shared" si="26"/>
        <v>31</v>
      </c>
      <c r="H146" s="5" t="s">
        <v>89</v>
      </c>
      <c r="I146" s="5">
        <v>6</v>
      </c>
      <c r="J146" s="5" t="s">
        <v>129</v>
      </c>
      <c r="K146" s="5">
        <v>1</v>
      </c>
      <c r="L146" s="5" t="s">
        <v>99</v>
      </c>
      <c r="M146" s="5">
        <v>1</v>
      </c>
      <c r="N146" s="5" t="s">
        <v>100</v>
      </c>
      <c r="O146" s="5">
        <v>1</v>
      </c>
      <c r="P146" s="30">
        <f t="shared" si="27"/>
        <v>1</v>
      </c>
      <c r="Q146" s="30">
        <f t="shared" si="28"/>
        <v>1</v>
      </c>
      <c r="R146" s="30">
        <f t="shared" si="29"/>
        <v>1</v>
      </c>
      <c r="S146" s="5">
        <v>1</v>
      </c>
    </row>
    <row r="147" spans="1:19" x14ac:dyDescent="0.25">
      <c r="A147" s="5">
        <v>143</v>
      </c>
      <c r="B147" s="5" t="s">
        <v>384</v>
      </c>
      <c r="C147" s="7">
        <v>42601</v>
      </c>
      <c r="D147" s="5" t="s">
        <v>385</v>
      </c>
      <c r="E147" s="5">
        <f t="shared" si="24"/>
        <v>2016</v>
      </c>
      <c r="F147" s="5">
        <f t="shared" si="25"/>
        <v>3</v>
      </c>
      <c r="G147" s="5">
        <f t="shared" si="26"/>
        <v>31</v>
      </c>
      <c r="H147" s="5" t="s">
        <v>89</v>
      </c>
      <c r="I147" s="5">
        <v>6</v>
      </c>
      <c r="J147" s="5" t="s">
        <v>129</v>
      </c>
      <c r="K147" s="5">
        <v>6</v>
      </c>
      <c r="L147" s="5" t="s">
        <v>91</v>
      </c>
      <c r="M147" s="5">
        <v>2</v>
      </c>
      <c r="N147" s="5" t="s">
        <v>92</v>
      </c>
      <c r="O147" s="5">
        <v>2</v>
      </c>
      <c r="P147" s="30">
        <f t="shared" si="27"/>
        <v>1</v>
      </c>
      <c r="Q147" s="30">
        <f t="shared" si="28"/>
        <v>0</v>
      </c>
      <c r="R147" s="30">
        <f t="shared" si="29"/>
        <v>0</v>
      </c>
      <c r="S147" s="5">
        <v>1</v>
      </c>
    </row>
    <row r="148" spans="1:19" x14ac:dyDescent="0.25">
      <c r="A148" s="5">
        <v>144</v>
      </c>
      <c r="B148" s="5" t="s">
        <v>386</v>
      </c>
      <c r="C148" s="7">
        <v>42602</v>
      </c>
      <c r="D148" s="5" t="s">
        <v>387</v>
      </c>
      <c r="E148" s="5">
        <f t="shared" si="24"/>
        <v>2016</v>
      </c>
      <c r="F148" s="5">
        <f t="shared" si="25"/>
        <v>3</v>
      </c>
      <c r="G148" s="5">
        <f t="shared" si="26"/>
        <v>31</v>
      </c>
      <c r="H148" s="5" t="s">
        <v>89</v>
      </c>
      <c r="I148" s="5">
        <v>7</v>
      </c>
      <c r="J148" s="5" t="s">
        <v>90</v>
      </c>
      <c r="K148" s="5">
        <v>6</v>
      </c>
      <c r="L148" s="5" t="s">
        <v>91</v>
      </c>
      <c r="M148" s="5">
        <v>2</v>
      </c>
      <c r="N148" s="5" t="s">
        <v>92</v>
      </c>
      <c r="O148" s="5">
        <v>7</v>
      </c>
      <c r="P148" s="30">
        <f t="shared" si="27"/>
        <v>1</v>
      </c>
      <c r="Q148" s="30">
        <f t="shared" si="28"/>
        <v>0</v>
      </c>
      <c r="R148" s="30">
        <f t="shared" si="29"/>
        <v>0</v>
      </c>
      <c r="S148" s="5">
        <v>1</v>
      </c>
    </row>
    <row r="149" spans="1:19" x14ac:dyDescent="0.25">
      <c r="A149" s="5">
        <v>145</v>
      </c>
      <c r="B149" s="5" t="s">
        <v>388</v>
      </c>
      <c r="C149" s="7">
        <v>42615</v>
      </c>
      <c r="D149" s="5" t="s">
        <v>389</v>
      </c>
      <c r="E149" s="5">
        <f t="shared" si="24"/>
        <v>2016</v>
      </c>
      <c r="F149" s="5">
        <f t="shared" si="25"/>
        <v>3</v>
      </c>
      <c r="G149" s="5">
        <f t="shared" si="26"/>
        <v>31</v>
      </c>
      <c r="H149" s="5" t="s">
        <v>162</v>
      </c>
      <c r="I149" s="5">
        <v>6</v>
      </c>
      <c r="J149" s="5" t="s">
        <v>129</v>
      </c>
      <c r="K149" s="5">
        <v>1</v>
      </c>
      <c r="L149" s="5" t="s">
        <v>99</v>
      </c>
      <c r="M149" s="5">
        <v>2</v>
      </c>
      <c r="N149" s="5" t="s">
        <v>92</v>
      </c>
      <c r="O149" s="5">
        <v>1</v>
      </c>
      <c r="P149" s="30">
        <f t="shared" si="27"/>
        <v>1</v>
      </c>
      <c r="Q149" s="30">
        <f t="shared" si="28"/>
        <v>1</v>
      </c>
      <c r="R149" s="30">
        <f t="shared" si="29"/>
        <v>0</v>
      </c>
      <c r="S149" s="5">
        <v>1</v>
      </c>
    </row>
    <row r="150" spans="1:19" x14ac:dyDescent="0.25">
      <c r="A150" s="5">
        <v>146</v>
      </c>
      <c r="B150" s="5" t="s">
        <v>390</v>
      </c>
      <c r="C150" s="7">
        <v>42632</v>
      </c>
      <c r="D150" s="5" t="s">
        <v>391</v>
      </c>
      <c r="E150" s="5">
        <f t="shared" si="24"/>
        <v>2016</v>
      </c>
      <c r="F150" s="5">
        <f t="shared" si="25"/>
        <v>3</v>
      </c>
      <c r="G150" s="5">
        <f t="shared" si="26"/>
        <v>31</v>
      </c>
      <c r="H150" s="5" t="s">
        <v>89</v>
      </c>
      <c r="I150" s="5">
        <v>2</v>
      </c>
      <c r="J150" s="5" t="s">
        <v>96</v>
      </c>
      <c r="K150" s="5">
        <v>6</v>
      </c>
      <c r="L150" s="5" t="s">
        <v>91</v>
      </c>
      <c r="M150" s="5">
        <v>2</v>
      </c>
      <c r="N150" s="5" t="s">
        <v>92</v>
      </c>
      <c r="O150" s="5">
        <v>1</v>
      </c>
      <c r="P150" s="30">
        <f t="shared" si="27"/>
        <v>0</v>
      </c>
      <c r="Q150" s="30">
        <f t="shared" si="28"/>
        <v>0</v>
      </c>
      <c r="R150" s="30">
        <f t="shared" si="29"/>
        <v>0</v>
      </c>
      <c r="S150" s="5">
        <v>1</v>
      </c>
    </row>
    <row r="151" spans="1:19" x14ac:dyDescent="0.25">
      <c r="A151" s="5">
        <v>147</v>
      </c>
      <c r="B151" s="5" t="s">
        <v>392</v>
      </c>
      <c r="C151" s="7">
        <v>42636</v>
      </c>
      <c r="D151" s="5" t="s">
        <v>393</v>
      </c>
      <c r="E151" s="5">
        <f t="shared" si="24"/>
        <v>2016</v>
      </c>
      <c r="F151" s="5">
        <f t="shared" si="25"/>
        <v>3</v>
      </c>
      <c r="G151" s="5">
        <f t="shared" si="26"/>
        <v>31</v>
      </c>
      <c r="H151" s="5" t="s">
        <v>89</v>
      </c>
      <c r="I151" s="5">
        <v>6</v>
      </c>
      <c r="J151" s="5" t="s">
        <v>129</v>
      </c>
      <c r="K151" s="5">
        <v>1</v>
      </c>
      <c r="L151" s="5" t="s">
        <v>99</v>
      </c>
      <c r="M151" s="5">
        <v>1</v>
      </c>
      <c r="N151" s="5" t="s">
        <v>100</v>
      </c>
      <c r="O151" s="5">
        <v>1</v>
      </c>
      <c r="P151" s="30">
        <f t="shared" si="27"/>
        <v>1</v>
      </c>
      <c r="Q151" s="30">
        <f t="shared" si="28"/>
        <v>1</v>
      </c>
      <c r="R151" s="30">
        <f t="shared" si="29"/>
        <v>1</v>
      </c>
      <c r="S151" s="5">
        <v>1</v>
      </c>
    </row>
    <row r="152" spans="1:19" x14ac:dyDescent="0.25">
      <c r="A152" s="5">
        <v>148</v>
      </c>
      <c r="B152" s="5" t="s">
        <v>394</v>
      </c>
      <c r="C152" s="7">
        <v>42683</v>
      </c>
      <c r="D152" s="5" t="s">
        <v>235</v>
      </c>
      <c r="E152" s="5">
        <f t="shared" si="24"/>
        <v>2016</v>
      </c>
      <c r="F152" s="5">
        <f t="shared" si="25"/>
        <v>4</v>
      </c>
      <c r="G152" s="5">
        <f t="shared" si="26"/>
        <v>32</v>
      </c>
      <c r="H152" s="5" t="s">
        <v>95</v>
      </c>
      <c r="I152" s="5">
        <v>4</v>
      </c>
      <c r="J152" s="5" t="s">
        <v>104</v>
      </c>
      <c r="K152" s="5">
        <v>6</v>
      </c>
      <c r="L152" s="5" t="s">
        <v>91</v>
      </c>
      <c r="M152" s="5">
        <v>2</v>
      </c>
      <c r="N152" s="5" t="s">
        <v>92</v>
      </c>
      <c r="O152" s="5">
        <v>2</v>
      </c>
      <c r="P152" s="30">
        <f t="shared" si="27"/>
        <v>0</v>
      </c>
      <c r="Q152" s="30">
        <f t="shared" si="28"/>
        <v>0</v>
      </c>
      <c r="R152" s="30">
        <f t="shared" si="29"/>
        <v>0</v>
      </c>
      <c r="S152" s="5">
        <v>1</v>
      </c>
    </row>
    <row r="153" spans="1:19" x14ac:dyDescent="0.25">
      <c r="A153" s="5">
        <v>149</v>
      </c>
      <c r="B153" s="5" t="s">
        <v>395</v>
      </c>
      <c r="C153" s="7">
        <v>42687</v>
      </c>
      <c r="D153" s="5" t="s">
        <v>396</v>
      </c>
      <c r="E153" s="5">
        <f t="shared" si="24"/>
        <v>2016</v>
      </c>
      <c r="F153" s="5">
        <f t="shared" si="25"/>
        <v>4</v>
      </c>
      <c r="G153" s="5">
        <f t="shared" si="26"/>
        <v>32</v>
      </c>
      <c r="H153" s="5" t="s">
        <v>89</v>
      </c>
      <c r="I153" s="5">
        <v>1</v>
      </c>
      <c r="J153" s="5" t="s">
        <v>126</v>
      </c>
      <c r="K153" s="5">
        <v>6</v>
      </c>
      <c r="L153" s="5" t="s">
        <v>91</v>
      </c>
      <c r="M153" s="5">
        <v>2</v>
      </c>
      <c r="N153" s="5" t="s">
        <v>92</v>
      </c>
      <c r="O153" s="5">
        <v>1</v>
      </c>
      <c r="P153" s="30">
        <f t="shared" si="27"/>
        <v>1</v>
      </c>
      <c r="Q153" s="30">
        <f t="shared" si="28"/>
        <v>0</v>
      </c>
      <c r="R153" s="30">
        <f t="shared" si="29"/>
        <v>0</v>
      </c>
      <c r="S153" s="5">
        <v>1</v>
      </c>
    </row>
    <row r="154" spans="1:19" x14ac:dyDescent="0.25">
      <c r="A154" s="5">
        <v>150</v>
      </c>
      <c r="B154" s="5" t="s">
        <v>397</v>
      </c>
      <c r="C154" s="7">
        <v>42689</v>
      </c>
      <c r="D154" s="5" t="s">
        <v>398</v>
      </c>
      <c r="E154" s="5">
        <f t="shared" si="24"/>
        <v>2016</v>
      </c>
      <c r="F154" s="5">
        <f t="shared" si="25"/>
        <v>4</v>
      </c>
      <c r="G154" s="5">
        <f t="shared" si="26"/>
        <v>32</v>
      </c>
      <c r="H154" s="5" t="s">
        <v>89</v>
      </c>
      <c r="I154" s="5">
        <v>3</v>
      </c>
      <c r="J154" s="5" t="s">
        <v>121</v>
      </c>
      <c r="K154" s="5">
        <v>6</v>
      </c>
      <c r="L154" s="5" t="s">
        <v>91</v>
      </c>
      <c r="M154" s="5">
        <v>2</v>
      </c>
      <c r="N154" s="5" t="s">
        <v>92</v>
      </c>
      <c r="O154" s="5">
        <v>1</v>
      </c>
      <c r="P154" s="30">
        <f t="shared" si="27"/>
        <v>0</v>
      </c>
      <c r="Q154" s="30">
        <f t="shared" si="28"/>
        <v>0</v>
      </c>
      <c r="R154" s="30">
        <f t="shared" si="29"/>
        <v>0</v>
      </c>
      <c r="S154" s="5">
        <v>1</v>
      </c>
    </row>
    <row r="155" spans="1:19" x14ac:dyDescent="0.25">
      <c r="A155" s="5">
        <v>151</v>
      </c>
      <c r="B155" s="5" t="s">
        <v>399</v>
      </c>
      <c r="C155" s="7">
        <v>42725</v>
      </c>
      <c r="D155" s="5" t="s">
        <v>400</v>
      </c>
      <c r="E155" s="5">
        <f t="shared" si="24"/>
        <v>2016</v>
      </c>
      <c r="F155" s="5">
        <f t="shared" si="25"/>
        <v>4</v>
      </c>
      <c r="G155" s="5">
        <f t="shared" si="26"/>
        <v>32</v>
      </c>
      <c r="H155" s="5" t="s">
        <v>89</v>
      </c>
      <c r="I155" s="5">
        <v>4</v>
      </c>
      <c r="J155" s="5" t="s">
        <v>104</v>
      </c>
      <c r="K155" s="5">
        <v>1</v>
      </c>
      <c r="L155" s="5" t="s">
        <v>99</v>
      </c>
      <c r="M155" s="5">
        <v>1</v>
      </c>
      <c r="N155" s="5" t="s">
        <v>100</v>
      </c>
      <c r="O155" s="5">
        <v>3</v>
      </c>
      <c r="P155" s="30">
        <f t="shared" si="27"/>
        <v>0</v>
      </c>
      <c r="Q155" s="30">
        <f t="shared" si="28"/>
        <v>1</v>
      </c>
      <c r="R155" s="30">
        <f t="shared" si="29"/>
        <v>1</v>
      </c>
      <c r="S155" s="5">
        <v>1</v>
      </c>
    </row>
    <row r="156" spans="1:19" x14ac:dyDescent="0.25">
      <c r="A156" s="5">
        <v>152</v>
      </c>
      <c r="B156" s="5" t="s">
        <v>401</v>
      </c>
      <c r="C156" s="7">
        <v>42746</v>
      </c>
      <c r="D156" s="5" t="s">
        <v>402</v>
      </c>
      <c r="E156" s="5">
        <f t="shared" si="24"/>
        <v>2017</v>
      </c>
      <c r="F156" s="5">
        <f t="shared" si="25"/>
        <v>1</v>
      </c>
      <c r="G156" s="5">
        <f t="shared" si="26"/>
        <v>33</v>
      </c>
      <c r="H156" s="5" t="s">
        <v>89</v>
      </c>
      <c r="I156" s="5">
        <v>4</v>
      </c>
      <c r="J156" s="5" t="s">
        <v>104</v>
      </c>
      <c r="K156" s="5">
        <v>6</v>
      </c>
      <c r="L156" s="5" t="s">
        <v>91</v>
      </c>
      <c r="M156" s="5">
        <v>1</v>
      </c>
      <c r="N156" s="5" t="s">
        <v>100</v>
      </c>
      <c r="O156" s="5">
        <v>2</v>
      </c>
      <c r="P156" s="30">
        <f t="shared" si="27"/>
        <v>0</v>
      </c>
      <c r="Q156" s="30">
        <f t="shared" si="28"/>
        <v>0</v>
      </c>
      <c r="R156" s="30">
        <f t="shared" si="29"/>
        <v>1</v>
      </c>
      <c r="S156" s="5">
        <v>1</v>
      </c>
    </row>
    <row r="157" spans="1:19" x14ac:dyDescent="0.25">
      <c r="A157" s="5">
        <v>153</v>
      </c>
      <c r="B157" s="5" t="s">
        <v>403</v>
      </c>
      <c r="C157" s="7">
        <v>42761</v>
      </c>
      <c r="D157" s="5" t="s">
        <v>404</v>
      </c>
      <c r="E157" s="5">
        <f t="shared" si="24"/>
        <v>2017</v>
      </c>
      <c r="F157" s="5">
        <f t="shared" si="25"/>
        <v>1</v>
      </c>
      <c r="G157" s="5">
        <f t="shared" si="26"/>
        <v>33</v>
      </c>
      <c r="H157" s="5" t="s">
        <v>89</v>
      </c>
      <c r="I157" s="5">
        <v>5</v>
      </c>
      <c r="J157" s="5" t="s">
        <v>163</v>
      </c>
      <c r="K157" s="5">
        <v>6</v>
      </c>
      <c r="L157" s="5" t="s">
        <v>91</v>
      </c>
      <c r="M157" s="5">
        <v>2</v>
      </c>
      <c r="N157" s="5" t="s">
        <v>92</v>
      </c>
      <c r="O157" s="5">
        <v>3</v>
      </c>
      <c r="P157" s="30">
        <f t="shared" si="27"/>
        <v>0</v>
      </c>
      <c r="Q157" s="30">
        <f t="shared" si="28"/>
        <v>0</v>
      </c>
      <c r="R157" s="30">
        <f t="shared" si="29"/>
        <v>0</v>
      </c>
      <c r="S157" s="5">
        <v>1</v>
      </c>
    </row>
    <row r="158" spans="1:19" x14ac:dyDescent="0.25">
      <c r="A158" s="5">
        <v>154</v>
      </c>
      <c r="B158" s="5" t="s">
        <v>405</v>
      </c>
      <c r="C158" s="7">
        <v>42762</v>
      </c>
      <c r="D158" s="5" t="s">
        <v>406</v>
      </c>
      <c r="E158" s="5">
        <f t="shared" si="24"/>
        <v>2017</v>
      </c>
      <c r="F158" s="5">
        <f t="shared" si="25"/>
        <v>1</v>
      </c>
      <c r="G158" s="5">
        <f t="shared" si="26"/>
        <v>33</v>
      </c>
      <c r="H158" s="5" t="s">
        <v>95</v>
      </c>
      <c r="I158" s="5">
        <v>6</v>
      </c>
      <c r="J158" s="5" t="s">
        <v>129</v>
      </c>
      <c r="K158" s="5">
        <v>4</v>
      </c>
      <c r="L158" s="5" t="s">
        <v>142</v>
      </c>
      <c r="M158" s="5">
        <v>2</v>
      </c>
      <c r="N158" s="5" t="s">
        <v>92</v>
      </c>
      <c r="O158" s="5">
        <v>1</v>
      </c>
      <c r="P158" s="30">
        <f t="shared" si="27"/>
        <v>1</v>
      </c>
      <c r="Q158" s="30">
        <f t="shared" si="28"/>
        <v>0</v>
      </c>
      <c r="R158" s="30">
        <f t="shared" si="29"/>
        <v>0</v>
      </c>
      <c r="S158" s="5">
        <v>1</v>
      </c>
    </row>
    <row r="159" spans="1:19" x14ac:dyDescent="0.25">
      <c r="A159" s="5">
        <v>155</v>
      </c>
      <c r="B159" s="5" t="s">
        <v>407</v>
      </c>
      <c r="C159" s="7">
        <v>42810</v>
      </c>
      <c r="D159" s="5" t="s">
        <v>408</v>
      </c>
      <c r="E159" s="5">
        <f t="shared" si="24"/>
        <v>2017</v>
      </c>
      <c r="F159" s="5">
        <f t="shared" si="25"/>
        <v>1</v>
      </c>
      <c r="G159" s="5">
        <f t="shared" si="26"/>
        <v>33</v>
      </c>
      <c r="H159" s="5" t="s">
        <v>89</v>
      </c>
      <c r="I159" s="5">
        <v>5</v>
      </c>
      <c r="J159" s="5" t="s">
        <v>163</v>
      </c>
      <c r="K159" s="5">
        <v>1</v>
      </c>
      <c r="L159" s="5" t="s">
        <v>99</v>
      </c>
      <c r="M159" s="5">
        <v>1</v>
      </c>
      <c r="N159" s="5" t="s">
        <v>100</v>
      </c>
      <c r="O159" s="5">
        <v>2</v>
      </c>
      <c r="P159" s="30">
        <f t="shared" si="27"/>
        <v>0</v>
      </c>
      <c r="Q159" s="30">
        <f t="shared" si="28"/>
        <v>1</v>
      </c>
      <c r="R159" s="30">
        <f t="shared" si="29"/>
        <v>1</v>
      </c>
      <c r="S159" s="5">
        <v>1</v>
      </c>
    </row>
    <row r="160" spans="1:19" x14ac:dyDescent="0.25">
      <c r="A160" s="5">
        <v>156</v>
      </c>
      <c r="B160" s="5" t="s">
        <v>409</v>
      </c>
      <c r="C160" s="7">
        <v>42831</v>
      </c>
      <c r="D160" s="5" t="s">
        <v>410</v>
      </c>
      <c r="E160" s="5">
        <f t="shared" si="24"/>
        <v>2017</v>
      </c>
      <c r="F160" s="5">
        <f t="shared" si="25"/>
        <v>2</v>
      </c>
      <c r="G160" s="5">
        <f t="shared" si="26"/>
        <v>34</v>
      </c>
      <c r="H160" s="5" t="s">
        <v>95</v>
      </c>
      <c r="I160" s="5">
        <v>5</v>
      </c>
      <c r="J160" s="5" t="s">
        <v>163</v>
      </c>
      <c r="K160" s="5">
        <v>6</v>
      </c>
      <c r="L160" s="5" t="s">
        <v>91</v>
      </c>
      <c r="M160" s="5">
        <v>1</v>
      </c>
      <c r="N160" s="5" t="s">
        <v>100</v>
      </c>
      <c r="O160" s="5">
        <v>2</v>
      </c>
      <c r="P160" s="30">
        <f t="shared" si="27"/>
        <v>0</v>
      </c>
      <c r="Q160" s="30">
        <f t="shared" si="28"/>
        <v>0</v>
      </c>
      <c r="R160" s="30">
        <f t="shared" si="29"/>
        <v>1</v>
      </c>
      <c r="S160" s="5">
        <v>1</v>
      </c>
    </row>
    <row r="161" spans="1:19" x14ac:dyDescent="0.25">
      <c r="A161" s="5">
        <v>157</v>
      </c>
      <c r="B161" s="5" t="s">
        <v>411</v>
      </c>
      <c r="C161" s="7">
        <v>42867</v>
      </c>
      <c r="D161" s="5" t="s">
        <v>412</v>
      </c>
      <c r="E161" s="5">
        <f t="shared" si="24"/>
        <v>2017</v>
      </c>
      <c r="F161" s="5">
        <f t="shared" si="25"/>
        <v>2</v>
      </c>
      <c r="G161" s="5">
        <f t="shared" si="26"/>
        <v>34</v>
      </c>
      <c r="H161" s="5" t="s">
        <v>89</v>
      </c>
      <c r="I161" s="5">
        <v>6</v>
      </c>
      <c r="J161" s="5" t="s">
        <v>129</v>
      </c>
      <c r="K161" s="5">
        <v>6</v>
      </c>
      <c r="L161" s="5" t="s">
        <v>91</v>
      </c>
      <c r="M161" s="5">
        <v>2</v>
      </c>
      <c r="N161" s="5" t="s">
        <v>92</v>
      </c>
      <c r="O161" s="5">
        <v>2</v>
      </c>
      <c r="P161" s="30">
        <f t="shared" si="27"/>
        <v>1</v>
      </c>
      <c r="Q161" s="30">
        <f t="shared" si="28"/>
        <v>0</v>
      </c>
      <c r="R161" s="30">
        <f t="shared" si="29"/>
        <v>0</v>
      </c>
      <c r="S161" s="5">
        <v>1</v>
      </c>
    </row>
    <row r="162" spans="1:19" x14ac:dyDescent="0.25">
      <c r="A162" s="5">
        <v>158</v>
      </c>
      <c r="B162" s="5" t="s">
        <v>413</v>
      </c>
      <c r="C162" s="7">
        <v>42871</v>
      </c>
      <c r="D162" s="5" t="s">
        <v>414</v>
      </c>
      <c r="E162" s="5">
        <f t="shared" si="24"/>
        <v>2017</v>
      </c>
      <c r="F162" s="5">
        <f t="shared" si="25"/>
        <v>2</v>
      </c>
      <c r="G162" s="5">
        <f t="shared" si="26"/>
        <v>34</v>
      </c>
      <c r="H162" s="5" t="s">
        <v>162</v>
      </c>
      <c r="I162" s="5">
        <v>3</v>
      </c>
      <c r="J162" s="5" t="s">
        <v>121</v>
      </c>
      <c r="K162" s="5">
        <v>6</v>
      </c>
      <c r="L162" s="5" t="s">
        <v>91</v>
      </c>
      <c r="M162" s="5">
        <v>1</v>
      </c>
      <c r="N162" s="5" t="s">
        <v>100</v>
      </c>
      <c r="O162" s="5">
        <v>1</v>
      </c>
      <c r="P162" s="30">
        <f t="shared" si="27"/>
        <v>0</v>
      </c>
      <c r="Q162" s="30">
        <f t="shared" si="28"/>
        <v>0</v>
      </c>
      <c r="R162" s="30">
        <f t="shared" si="29"/>
        <v>1</v>
      </c>
      <c r="S162" s="5">
        <v>1</v>
      </c>
    </row>
    <row r="163" spans="1:19" x14ac:dyDescent="0.25">
      <c r="A163" s="5">
        <v>159</v>
      </c>
      <c r="B163" s="5" t="s">
        <v>415</v>
      </c>
      <c r="C163" s="7">
        <v>42874</v>
      </c>
      <c r="D163" s="5" t="s">
        <v>416</v>
      </c>
      <c r="E163" s="5">
        <f t="shared" si="24"/>
        <v>2017</v>
      </c>
      <c r="F163" s="5">
        <f t="shared" si="25"/>
        <v>2</v>
      </c>
      <c r="G163" s="5">
        <f t="shared" si="26"/>
        <v>34</v>
      </c>
      <c r="H163" s="5" t="s">
        <v>89</v>
      </c>
      <c r="I163" s="5">
        <v>6</v>
      </c>
      <c r="J163" s="5" t="s">
        <v>129</v>
      </c>
      <c r="K163" s="5">
        <v>1</v>
      </c>
      <c r="L163" s="5" t="s">
        <v>99</v>
      </c>
      <c r="M163" s="5">
        <v>1</v>
      </c>
      <c r="N163" s="5" t="s">
        <v>100</v>
      </c>
      <c r="O163" s="5">
        <v>1</v>
      </c>
      <c r="P163" s="30">
        <f t="shared" si="27"/>
        <v>1</v>
      </c>
      <c r="Q163" s="30">
        <f t="shared" si="28"/>
        <v>1</v>
      </c>
      <c r="R163" s="30">
        <f t="shared" si="29"/>
        <v>1</v>
      </c>
      <c r="S163" s="5">
        <v>1</v>
      </c>
    </row>
    <row r="164" spans="1:19" x14ac:dyDescent="0.25">
      <c r="A164" s="5">
        <v>160</v>
      </c>
      <c r="B164" s="5" t="s">
        <v>417</v>
      </c>
      <c r="C164" s="7">
        <v>42898</v>
      </c>
      <c r="D164" s="5" t="s">
        <v>418</v>
      </c>
      <c r="E164" s="5">
        <f t="shared" si="24"/>
        <v>2017</v>
      </c>
      <c r="F164" s="5">
        <f t="shared" si="25"/>
        <v>2</v>
      </c>
      <c r="G164" s="5">
        <f t="shared" si="26"/>
        <v>34</v>
      </c>
      <c r="H164" s="5" t="s">
        <v>89</v>
      </c>
      <c r="I164" s="5">
        <v>2</v>
      </c>
      <c r="J164" s="5" t="s">
        <v>96</v>
      </c>
      <c r="K164" s="5">
        <v>1</v>
      </c>
      <c r="L164" s="5" t="s">
        <v>99</v>
      </c>
      <c r="M164" s="5">
        <v>1</v>
      </c>
      <c r="N164" s="5" t="s">
        <v>100</v>
      </c>
      <c r="O164" s="5">
        <v>6</v>
      </c>
      <c r="P164" s="30">
        <f t="shared" si="27"/>
        <v>0</v>
      </c>
      <c r="Q164" s="30">
        <f t="shared" si="28"/>
        <v>1</v>
      </c>
      <c r="R164" s="30">
        <f t="shared" si="29"/>
        <v>1</v>
      </c>
      <c r="S164" s="5">
        <v>1</v>
      </c>
    </row>
    <row r="165" spans="1:19" x14ac:dyDescent="0.25">
      <c r="A165" s="5">
        <v>161</v>
      </c>
      <c r="B165" s="5" t="s">
        <v>419</v>
      </c>
      <c r="C165" s="7">
        <v>42911</v>
      </c>
      <c r="D165" s="5" t="s">
        <v>406</v>
      </c>
      <c r="E165" s="5">
        <f t="shared" ref="E165:E176" si="30">YEAR(C165)</f>
        <v>2017</v>
      </c>
      <c r="F165" s="5">
        <f t="shared" ref="F165:F176" si="31">ROUNDUP(MONTH(C165)/3,0)</f>
        <v>2</v>
      </c>
      <c r="G165" s="5">
        <f t="shared" ref="G165:G176" si="32">(E165-2009)*4+F165</f>
        <v>34</v>
      </c>
      <c r="H165" s="5" t="s">
        <v>89</v>
      </c>
      <c r="I165" s="5">
        <v>1</v>
      </c>
      <c r="J165" s="5" t="s">
        <v>126</v>
      </c>
      <c r="K165" s="5">
        <v>6</v>
      </c>
      <c r="L165" s="5" t="s">
        <v>91</v>
      </c>
      <c r="M165" s="5">
        <v>1</v>
      </c>
      <c r="N165" s="5" t="s">
        <v>100</v>
      </c>
      <c r="O165" s="5">
        <v>2</v>
      </c>
      <c r="P165" s="30">
        <f t="shared" ref="P165:P176" si="33">IF(OR(I165=1,I165=6,I165=7),1,0)</f>
        <v>1</v>
      </c>
      <c r="Q165" s="30">
        <f t="shared" ref="Q165:Q176" si="34">IF(K165=1,1,0)</f>
        <v>0</v>
      </c>
      <c r="R165" s="30">
        <f t="shared" ref="R165:R176" si="35">IF(M165=1,1,0)</f>
        <v>1</v>
      </c>
      <c r="S165" s="5">
        <v>1</v>
      </c>
    </row>
    <row r="166" spans="1:19" x14ac:dyDescent="0.25">
      <c r="A166" s="5">
        <v>162</v>
      </c>
      <c r="B166" s="5" t="s">
        <v>420</v>
      </c>
      <c r="C166" s="7">
        <v>42925</v>
      </c>
      <c r="D166" s="5" t="s">
        <v>421</v>
      </c>
      <c r="E166" s="5">
        <f t="shared" si="30"/>
        <v>2017</v>
      </c>
      <c r="F166" s="5">
        <f t="shared" si="31"/>
        <v>3</v>
      </c>
      <c r="G166" s="5">
        <f t="shared" si="32"/>
        <v>35</v>
      </c>
      <c r="H166" s="5" t="s">
        <v>89</v>
      </c>
      <c r="I166" s="5">
        <v>1</v>
      </c>
      <c r="J166" s="5" t="s">
        <v>126</v>
      </c>
      <c r="K166" s="5">
        <v>1</v>
      </c>
      <c r="L166" s="5" t="s">
        <v>99</v>
      </c>
      <c r="M166" s="5">
        <v>1</v>
      </c>
      <c r="N166" s="5" t="s">
        <v>100</v>
      </c>
      <c r="O166" s="5">
        <v>10</v>
      </c>
      <c r="P166" s="30">
        <f t="shared" si="33"/>
        <v>1</v>
      </c>
      <c r="Q166" s="30">
        <f t="shared" si="34"/>
        <v>1</v>
      </c>
      <c r="R166" s="30">
        <f t="shared" si="35"/>
        <v>1</v>
      </c>
      <c r="S166" s="5">
        <v>1</v>
      </c>
    </row>
    <row r="167" spans="1:19" x14ac:dyDescent="0.25">
      <c r="A167" s="5">
        <v>163</v>
      </c>
      <c r="B167" s="5" t="s">
        <v>422</v>
      </c>
      <c r="C167" s="7">
        <v>42932</v>
      </c>
      <c r="D167" s="5" t="s">
        <v>423</v>
      </c>
      <c r="E167" s="5">
        <f t="shared" si="30"/>
        <v>2017</v>
      </c>
      <c r="F167" s="5">
        <f t="shared" si="31"/>
        <v>3</v>
      </c>
      <c r="G167" s="5">
        <f t="shared" si="32"/>
        <v>35</v>
      </c>
      <c r="H167" s="5" t="s">
        <v>162</v>
      </c>
      <c r="I167" s="5">
        <v>1</v>
      </c>
      <c r="J167" s="5" t="s">
        <v>126</v>
      </c>
      <c r="K167" s="5">
        <v>1</v>
      </c>
      <c r="L167" s="5" t="s">
        <v>99</v>
      </c>
      <c r="M167" s="5">
        <v>1</v>
      </c>
      <c r="N167" s="5" t="s">
        <v>100</v>
      </c>
      <c r="O167" s="5">
        <v>1</v>
      </c>
      <c r="P167" s="30">
        <f t="shared" si="33"/>
        <v>1</v>
      </c>
      <c r="Q167" s="30">
        <f t="shared" si="34"/>
        <v>1</v>
      </c>
      <c r="R167" s="30">
        <f t="shared" si="35"/>
        <v>1</v>
      </c>
      <c r="S167" s="5">
        <v>1</v>
      </c>
    </row>
    <row r="168" spans="1:19" x14ac:dyDescent="0.25">
      <c r="A168" s="5">
        <v>164</v>
      </c>
      <c r="B168" s="5" t="s">
        <v>424</v>
      </c>
      <c r="C168" s="7">
        <v>42948</v>
      </c>
      <c r="D168" s="5" t="s">
        <v>425</v>
      </c>
      <c r="E168" s="5">
        <f t="shared" si="30"/>
        <v>2017</v>
      </c>
      <c r="F168" s="5">
        <f t="shared" si="31"/>
        <v>3</v>
      </c>
      <c r="G168" s="5">
        <f t="shared" si="32"/>
        <v>35</v>
      </c>
      <c r="H168" s="5" t="s">
        <v>95</v>
      </c>
      <c r="I168" s="5">
        <v>3</v>
      </c>
      <c r="J168" s="5" t="s">
        <v>121</v>
      </c>
      <c r="K168" s="5">
        <v>1</v>
      </c>
      <c r="L168" s="5" t="s">
        <v>99</v>
      </c>
      <c r="M168" s="5">
        <v>1</v>
      </c>
      <c r="N168" s="5" t="s">
        <v>100</v>
      </c>
      <c r="O168" s="5">
        <v>1</v>
      </c>
      <c r="P168" s="30">
        <f t="shared" si="33"/>
        <v>0</v>
      </c>
      <c r="Q168" s="30">
        <f t="shared" si="34"/>
        <v>1</v>
      </c>
      <c r="R168" s="30">
        <f t="shared" si="35"/>
        <v>1</v>
      </c>
      <c r="S168" s="5">
        <v>1</v>
      </c>
    </row>
    <row r="169" spans="1:19" x14ac:dyDescent="0.25">
      <c r="A169" s="5">
        <v>165</v>
      </c>
      <c r="B169" s="5" t="s">
        <v>426</v>
      </c>
      <c r="C169" s="7">
        <v>42977</v>
      </c>
      <c r="D169" s="5" t="s">
        <v>427</v>
      </c>
      <c r="E169" s="5">
        <f t="shared" si="30"/>
        <v>2017</v>
      </c>
      <c r="F169" s="5">
        <f t="shared" si="31"/>
        <v>3</v>
      </c>
      <c r="G169" s="5">
        <f t="shared" si="32"/>
        <v>35</v>
      </c>
      <c r="H169" s="5" t="s">
        <v>89</v>
      </c>
      <c r="I169" s="5">
        <v>4</v>
      </c>
      <c r="J169" s="5" t="s">
        <v>104</v>
      </c>
      <c r="K169" s="5">
        <v>1</v>
      </c>
      <c r="L169" s="5" t="s">
        <v>99</v>
      </c>
      <c r="M169" s="5">
        <v>1</v>
      </c>
      <c r="N169" s="5" t="s">
        <v>100</v>
      </c>
      <c r="O169" s="5">
        <v>4</v>
      </c>
      <c r="P169" s="30">
        <f t="shared" si="33"/>
        <v>0</v>
      </c>
      <c r="Q169" s="30">
        <f t="shared" si="34"/>
        <v>1</v>
      </c>
      <c r="R169" s="30">
        <f t="shared" si="35"/>
        <v>1</v>
      </c>
      <c r="S169" s="5">
        <v>1</v>
      </c>
    </row>
    <row r="170" spans="1:19" x14ac:dyDescent="0.25">
      <c r="A170" s="5">
        <v>166</v>
      </c>
      <c r="B170" s="5" t="s">
        <v>428</v>
      </c>
      <c r="C170" s="7">
        <v>43001</v>
      </c>
      <c r="D170" s="5" t="s">
        <v>429</v>
      </c>
      <c r="E170" s="5">
        <f t="shared" si="30"/>
        <v>2017</v>
      </c>
      <c r="F170" s="5">
        <f t="shared" si="31"/>
        <v>3</v>
      </c>
      <c r="G170" s="5">
        <f t="shared" si="32"/>
        <v>35</v>
      </c>
      <c r="H170" s="5" t="s">
        <v>89</v>
      </c>
      <c r="I170" s="5">
        <v>7</v>
      </c>
      <c r="J170" s="5" t="s">
        <v>90</v>
      </c>
      <c r="K170" s="5">
        <v>1</v>
      </c>
      <c r="L170" s="5" t="s">
        <v>99</v>
      </c>
      <c r="M170" s="5">
        <v>1</v>
      </c>
      <c r="N170" s="5" t="s">
        <v>100</v>
      </c>
      <c r="O170" s="5">
        <v>7</v>
      </c>
      <c r="P170" s="30">
        <f t="shared" si="33"/>
        <v>1</v>
      </c>
      <c r="Q170" s="30">
        <f t="shared" si="34"/>
        <v>1</v>
      </c>
      <c r="R170" s="30">
        <f t="shared" si="35"/>
        <v>1</v>
      </c>
      <c r="S170" s="5">
        <v>1</v>
      </c>
    </row>
    <row r="171" spans="1:19" x14ac:dyDescent="0.25">
      <c r="A171" s="5">
        <v>167</v>
      </c>
      <c r="B171" s="5" t="s">
        <v>430</v>
      </c>
      <c r="C171" s="7">
        <v>43022</v>
      </c>
      <c r="D171" s="5" t="s">
        <v>359</v>
      </c>
      <c r="E171" s="5">
        <f t="shared" si="30"/>
        <v>2017</v>
      </c>
      <c r="F171" s="5">
        <f t="shared" si="31"/>
        <v>4</v>
      </c>
      <c r="G171" s="5">
        <f t="shared" si="32"/>
        <v>36</v>
      </c>
      <c r="H171" s="5" t="s">
        <v>89</v>
      </c>
      <c r="I171" s="5">
        <v>7</v>
      </c>
      <c r="J171" s="5" t="s">
        <v>90</v>
      </c>
      <c r="K171" s="5">
        <v>6</v>
      </c>
      <c r="L171" s="5" t="s">
        <v>91</v>
      </c>
      <c r="M171" s="5">
        <v>1</v>
      </c>
      <c r="N171" s="5" t="s">
        <v>100</v>
      </c>
      <c r="O171" s="5">
        <v>1</v>
      </c>
      <c r="P171" s="30">
        <f t="shared" si="33"/>
        <v>1</v>
      </c>
      <c r="Q171" s="30">
        <f t="shared" si="34"/>
        <v>0</v>
      </c>
      <c r="R171" s="30">
        <f t="shared" si="35"/>
        <v>1</v>
      </c>
      <c r="S171" s="5">
        <v>1</v>
      </c>
    </row>
    <row r="172" spans="1:19" x14ac:dyDescent="0.25">
      <c r="A172" s="5">
        <v>168</v>
      </c>
      <c r="B172" s="5" t="s">
        <v>431</v>
      </c>
      <c r="C172" s="7">
        <v>43038</v>
      </c>
      <c r="D172" s="5" t="s">
        <v>432</v>
      </c>
      <c r="E172" s="5">
        <f t="shared" si="30"/>
        <v>2017</v>
      </c>
      <c r="F172" s="5">
        <f t="shared" si="31"/>
        <v>4</v>
      </c>
      <c r="G172" s="5">
        <f t="shared" si="32"/>
        <v>36</v>
      </c>
      <c r="H172" s="5" t="s">
        <v>162</v>
      </c>
      <c r="I172" s="5">
        <v>2</v>
      </c>
      <c r="J172" s="5" t="s">
        <v>96</v>
      </c>
      <c r="K172" s="5">
        <v>6</v>
      </c>
      <c r="L172" s="5" t="s">
        <v>91</v>
      </c>
      <c r="M172" s="5">
        <v>1</v>
      </c>
      <c r="N172" s="5" t="s">
        <v>100</v>
      </c>
      <c r="O172" s="5">
        <v>1</v>
      </c>
      <c r="P172" s="30">
        <f t="shared" si="33"/>
        <v>0</v>
      </c>
      <c r="Q172" s="30">
        <f t="shared" si="34"/>
        <v>0</v>
      </c>
      <c r="R172" s="30">
        <f t="shared" si="35"/>
        <v>1</v>
      </c>
      <c r="S172" s="5">
        <v>1</v>
      </c>
    </row>
    <row r="173" spans="1:19" x14ac:dyDescent="0.25">
      <c r="A173" s="5">
        <v>169</v>
      </c>
      <c r="B173" s="5" t="s">
        <v>433</v>
      </c>
      <c r="C173" s="7">
        <v>43070</v>
      </c>
      <c r="D173" s="5" t="s">
        <v>434</v>
      </c>
      <c r="E173" s="5">
        <f t="shared" si="30"/>
        <v>2017</v>
      </c>
      <c r="F173" s="5">
        <f t="shared" si="31"/>
        <v>4</v>
      </c>
      <c r="G173" s="5">
        <f t="shared" si="32"/>
        <v>36</v>
      </c>
      <c r="H173" s="5" t="s">
        <v>89</v>
      </c>
      <c r="I173" s="5">
        <v>6</v>
      </c>
      <c r="J173" s="5" t="s">
        <v>129</v>
      </c>
      <c r="K173" s="5">
        <v>6</v>
      </c>
      <c r="L173" s="5" t="s">
        <v>91</v>
      </c>
      <c r="M173" s="5">
        <v>2</v>
      </c>
      <c r="N173" s="5" t="s">
        <v>92</v>
      </c>
      <c r="O173" s="5">
        <v>3</v>
      </c>
      <c r="P173" s="30">
        <f t="shared" si="33"/>
        <v>1</v>
      </c>
      <c r="Q173" s="30">
        <f t="shared" si="34"/>
        <v>0</v>
      </c>
      <c r="R173" s="30">
        <f t="shared" si="35"/>
        <v>0</v>
      </c>
      <c r="S173" s="5">
        <v>1</v>
      </c>
    </row>
    <row r="174" spans="1:19" x14ac:dyDescent="0.25">
      <c r="A174" s="5">
        <v>170</v>
      </c>
      <c r="B174" s="5" t="s">
        <v>435</v>
      </c>
      <c r="C174" s="7">
        <v>43079</v>
      </c>
      <c r="D174" s="5" t="s">
        <v>436</v>
      </c>
      <c r="E174" s="5">
        <f t="shared" si="30"/>
        <v>2017</v>
      </c>
      <c r="F174" s="5">
        <f t="shared" si="31"/>
        <v>4</v>
      </c>
      <c r="G174" s="5">
        <f t="shared" si="32"/>
        <v>36</v>
      </c>
      <c r="H174" s="5" t="s">
        <v>162</v>
      </c>
      <c r="I174" s="5">
        <v>1</v>
      </c>
      <c r="J174" s="5" t="s">
        <v>126</v>
      </c>
      <c r="K174" s="5">
        <v>1</v>
      </c>
      <c r="L174" s="5" t="s">
        <v>99</v>
      </c>
      <c r="M174" s="5">
        <v>2</v>
      </c>
      <c r="N174" s="5" t="s">
        <v>92</v>
      </c>
      <c r="O174" s="5">
        <v>1</v>
      </c>
      <c r="P174" s="30">
        <f t="shared" si="33"/>
        <v>1</v>
      </c>
      <c r="Q174" s="30">
        <f t="shared" si="34"/>
        <v>1</v>
      </c>
      <c r="R174" s="30">
        <f t="shared" si="35"/>
        <v>0</v>
      </c>
      <c r="S174" s="5">
        <v>1</v>
      </c>
    </row>
    <row r="175" spans="1:19" x14ac:dyDescent="0.25">
      <c r="A175" s="5">
        <v>171</v>
      </c>
      <c r="B175" s="5" t="s">
        <v>437</v>
      </c>
      <c r="C175" s="7">
        <v>43083</v>
      </c>
      <c r="D175" s="5" t="s">
        <v>438</v>
      </c>
      <c r="E175" s="5">
        <f t="shared" si="30"/>
        <v>2017</v>
      </c>
      <c r="F175" s="5">
        <f t="shared" si="31"/>
        <v>4</v>
      </c>
      <c r="G175" s="5">
        <f t="shared" si="32"/>
        <v>36</v>
      </c>
      <c r="H175" s="5" t="s">
        <v>89</v>
      </c>
      <c r="I175" s="5">
        <v>5</v>
      </c>
      <c r="J175" s="5" t="s">
        <v>163</v>
      </c>
      <c r="K175" s="5">
        <v>5</v>
      </c>
      <c r="L175" s="5" t="s">
        <v>439</v>
      </c>
      <c r="M175" s="5">
        <v>2</v>
      </c>
      <c r="N175" s="5" t="s">
        <v>92</v>
      </c>
      <c r="O175" s="5">
        <v>1</v>
      </c>
      <c r="P175" s="30">
        <f t="shared" si="33"/>
        <v>0</v>
      </c>
      <c r="Q175" s="30">
        <f t="shared" si="34"/>
        <v>0</v>
      </c>
      <c r="R175" s="30">
        <f t="shared" si="35"/>
        <v>0</v>
      </c>
      <c r="S175" s="5">
        <v>1</v>
      </c>
    </row>
    <row r="176" spans="1:19" x14ac:dyDescent="0.25">
      <c r="A176" s="5">
        <v>172</v>
      </c>
      <c r="B176" s="5" t="s">
        <v>440</v>
      </c>
      <c r="C176" s="7">
        <v>43087</v>
      </c>
      <c r="D176" s="5" t="s">
        <v>441</v>
      </c>
      <c r="E176" s="5">
        <f t="shared" si="30"/>
        <v>2017</v>
      </c>
      <c r="F176" s="5">
        <f t="shared" si="31"/>
        <v>4</v>
      </c>
      <c r="G176" s="5">
        <f t="shared" si="32"/>
        <v>36</v>
      </c>
      <c r="H176" s="5" t="s">
        <v>89</v>
      </c>
      <c r="I176" s="5">
        <v>2</v>
      </c>
      <c r="J176" s="5" t="s">
        <v>96</v>
      </c>
      <c r="K176" s="5">
        <v>6</v>
      </c>
      <c r="L176" s="5" t="s">
        <v>91</v>
      </c>
      <c r="M176" s="5">
        <v>2</v>
      </c>
      <c r="N176" s="5" t="s">
        <v>92</v>
      </c>
      <c r="O176" s="5">
        <v>2</v>
      </c>
      <c r="P176" s="30">
        <f t="shared" si="33"/>
        <v>0</v>
      </c>
      <c r="Q176" s="30">
        <f t="shared" si="34"/>
        <v>0</v>
      </c>
      <c r="R176" s="30">
        <f t="shared" si="35"/>
        <v>0</v>
      </c>
      <c r="S176" s="5">
        <v>1</v>
      </c>
    </row>
    <row r="177" spans="14:19" x14ac:dyDescent="0.25">
      <c r="N177" s="3" t="s">
        <v>442</v>
      </c>
      <c r="O177" s="3">
        <f>SUM(O5:O176)</f>
        <v>426</v>
      </c>
      <c r="P177" s="3">
        <f>SUM(P5:P176)</f>
        <v>88</v>
      </c>
      <c r="Q177" s="3">
        <f>SUM(Q5:Q176)</f>
        <v>101</v>
      </c>
      <c r="R177" s="3">
        <f>SUM(R5:R176)</f>
        <v>99</v>
      </c>
      <c r="S177" s="3">
        <f>SUM(S5:S176)</f>
        <v>170</v>
      </c>
    </row>
  </sheetData>
  <pageMargins left="0.75" right="0.75" top="1" bottom="1" header="0.5" footer="0.5"/>
  <pageSetup paperSize="9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43"/>
  <sheetViews>
    <sheetView workbookViewId="0">
      <pane xSplit="1" ySplit="4" topLeftCell="B5" activePane="bottomRight" state="frozen"/>
      <selection pane="topRight"/>
      <selection pane="bottomLeft"/>
      <selection pane="bottomRight" activeCell="Y11" sqref="Y11"/>
    </sheetView>
  </sheetViews>
  <sheetFormatPr defaultRowHeight="15" x14ac:dyDescent="0.25"/>
  <cols>
    <col min="1" max="23" width="7.42578125" customWidth="1"/>
  </cols>
  <sheetData>
    <row r="1" spans="1:23" ht="18.75" x14ac:dyDescent="0.3">
      <c r="A1" s="21" t="s">
        <v>443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 spans="1:23" x14ac:dyDescent="0.25">
      <c r="A2" s="20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3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</row>
    <row r="4" spans="1:23" ht="32.1" customHeight="1" x14ac:dyDescent="0.25">
      <c r="A4" s="25" t="s">
        <v>444</v>
      </c>
      <c r="B4" s="25" t="s">
        <v>72</v>
      </c>
      <c r="C4" s="25" t="s">
        <v>445</v>
      </c>
      <c r="D4" s="25" t="s">
        <v>446</v>
      </c>
      <c r="E4" s="25" t="s">
        <v>447</v>
      </c>
      <c r="F4" s="25" t="s">
        <v>448</v>
      </c>
      <c r="G4" s="25" t="s">
        <v>449</v>
      </c>
      <c r="H4" s="25" t="s">
        <v>450</v>
      </c>
      <c r="I4" s="25" t="s">
        <v>451</v>
      </c>
      <c r="J4" s="25" t="s">
        <v>452</v>
      </c>
      <c r="K4" s="25" t="s">
        <v>453</v>
      </c>
      <c r="L4" s="25" t="s">
        <v>454</v>
      </c>
      <c r="M4" s="25" t="s">
        <v>455</v>
      </c>
      <c r="N4" s="25" t="s">
        <v>456</v>
      </c>
      <c r="O4" s="25" t="s">
        <v>457</v>
      </c>
      <c r="P4" s="25" t="s">
        <v>458</v>
      </c>
      <c r="Q4" s="25" t="s">
        <v>459</v>
      </c>
      <c r="R4" s="25" t="s">
        <v>460</v>
      </c>
      <c r="S4" s="25" t="s">
        <v>461</v>
      </c>
      <c r="T4" s="25" t="s">
        <v>462</v>
      </c>
      <c r="U4" s="25" t="s">
        <v>463</v>
      </c>
      <c r="V4" s="25" t="s">
        <v>464</v>
      </c>
      <c r="W4" s="25" t="s">
        <v>465</v>
      </c>
    </row>
    <row r="5" spans="1:23" x14ac:dyDescent="0.25">
      <c r="A5" s="5">
        <v>1</v>
      </c>
      <c r="B5" s="5">
        <f t="shared" ref="B5:B40" si="0">2009+INT((A5-1)/4)</f>
        <v>2009</v>
      </c>
      <c r="C5" s="5">
        <f t="shared" ref="C5:C40" si="1">MOD(A5-1,4)+1</f>
        <v>1</v>
      </c>
      <c r="D5" s="5">
        <f>COUNTIFS(ДТП_Корнуолл!$G$5:$G$176,A5,ДТП_Корнуолл!$S$5:$S$176,1)</f>
        <v>1</v>
      </c>
      <c r="E5" s="5">
        <f>SUMIFS(ДТП_Корнуолл!$P$5:$P$176,ДТП_Корнуолл!$G$5:$G$176,A5,ДТП_Корнуолл!$S$5:$S$176,1)</f>
        <v>1</v>
      </c>
      <c r="F5" s="5">
        <f>SUMIFS(ДТП_Корнуолл!$Q$5:$Q$176,ДТП_Корнуолл!$G$5:$G$176,A5,ДТП_Корнуолл!$S$5:$S$176,1)</f>
        <v>1</v>
      </c>
      <c r="G5" s="5">
        <f>SUMIFS(ДТП_Корнуолл!$R$5:$R$176,ДТП_Корнуолл!$G$5:$G$176,A5,ДТП_Корнуолл!$S$5:$S$176,1)</f>
        <v>1</v>
      </c>
      <c r="H5" s="5">
        <f t="shared" ref="H5:H40" si="2">IF(C5=1,1,0)</f>
        <v>1</v>
      </c>
      <c r="I5" s="5">
        <f t="shared" ref="I5:I40" si="3">IF(C5=2,1,0)</f>
        <v>0</v>
      </c>
      <c r="J5" s="5">
        <f t="shared" ref="J5:J40" si="4">IF(C5=3,1,0)</f>
        <v>0</v>
      </c>
      <c r="K5" s="5">
        <f t="shared" ref="K5:K40" si="5">IF(C5=4,1,0)</f>
        <v>0</v>
      </c>
      <c r="L5" s="8">
        <v>1</v>
      </c>
      <c r="M5" s="8">
        <v>1</v>
      </c>
      <c r="N5" s="8">
        <v>1</v>
      </c>
      <c r="O5" s="8">
        <v>1</v>
      </c>
      <c r="P5" s="5">
        <f t="shared" ref="P5:P40" si="6">D5-L5</f>
        <v>0</v>
      </c>
      <c r="Q5" s="5">
        <f t="shared" ref="Q5:Q40" si="7">E5-M5</f>
        <v>0</v>
      </c>
      <c r="R5" s="5">
        <f t="shared" ref="R5:R40" si="8">F5-N5</f>
        <v>0</v>
      </c>
      <c r="S5" s="5">
        <f t="shared" ref="S5:S40" si="9">G5-O5</f>
        <v>0</v>
      </c>
      <c r="T5" s="5">
        <f>COUNTIFS(ДТП_Корнуолл!$G$5:$G$176,A5)</f>
        <v>3</v>
      </c>
      <c r="U5" s="5">
        <f>SUMIFS(ДТП_Корнуолл!$P$5:$P$176,ДТП_Корнуолл!$G$5:$G$176,A5)</f>
        <v>2</v>
      </c>
      <c r="V5" s="5">
        <f>SUMIFS(ДТП_Корнуолл!$Q$5:$Q$176,ДТП_Корнуолл!$G$5:$G$176,A5)</f>
        <v>1</v>
      </c>
      <c r="W5" s="5">
        <f>SUMIFS(ДТП_Корнуолл!$R$5:$R$176,ДТП_Корнуолл!$G$5:$G$176,A5)</f>
        <v>1</v>
      </c>
    </row>
    <row r="6" spans="1:23" x14ac:dyDescent="0.25">
      <c r="A6" s="5">
        <v>2</v>
      </c>
      <c r="B6" s="5">
        <f t="shared" si="0"/>
        <v>2009</v>
      </c>
      <c r="C6" s="5">
        <f t="shared" si="1"/>
        <v>2</v>
      </c>
      <c r="D6" s="5">
        <f>COUNTIFS(ДТП_Корнуолл!$G$5:$G$176,A6,ДТП_Корнуолл!$S$5:$S$176,1)</f>
        <v>9</v>
      </c>
      <c r="E6" s="5">
        <f>SUMIFS(ДТП_Корнуолл!$P$5:$P$176,ДТП_Корнуолл!$G$5:$G$176,A6,ДТП_Корнуолл!$S$5:$S$176,1)</f>
        <v>3</v>
      </c>
      <c r="F6" s="5">
        <f>SUMIFS(ДТП_Корнуолл!$Q$5:$Q$176,ДТП_Корнуолл!$G$5:$G$176,A6,ДТП_Корнуолл!$S$5:$S$176,1)</f>
        <v>6</v>
      </c>
      <c r="G6" s="5">
        <f>SUMIFS(ДТП_Корнуолл!$R$5:$R$176,ДТП_Корнуолл!$G$5:$G$176,A6,ДТП_Корнуолл!$S$5:$S$176,1)</f>
        <v>7</v>
      </c>
      <c r="H6" s="5">
        <f t="shared" si="2"/>
        <v>0</v>
      </c>
      <c r="I6" s="5">
        <f t="shared" si="3"/>
        <v>1</v>
      </c>
      <c r="J6" s="5">
        <f t="shared" si="4"/>
        <v>0</v>
      </c>
      <c r="K6" s="5">
        <f t="shared" si="5"/>
        <v>0</v>
      </c>
      <c r="L6" s="8">
        <v>7</v>
      </c>
      <c r="M6" s="8">
        <v>3</v>
      </c>
      <c r="N6" s="8">
        <v>6</v>
      </c>
      <c r="O6" s="8">
        <v>7</v>
      </c>
      <c r="P6" s="5">
        <f t="shared" si="6"/>
        <v>2</v>
      </c>
      <c r="Q6" s="5">
        <f t="shared" si="7"/>
        <v>0</v>
      </c>
      <c r="R6" s="5">
        <f t="shared" si="8"/>
        <v>0</v>
      </c>
      <c r="S6" s="5">
        <f t="shared" si="9"/>
        <v>0</v>
      </c>
      <c r="T6" s="5">
        <f>COUNTIFS(ДТП_Корнуолл!$G$5:$G$176,A6)</f>
        <v>9</v>
      </c>
      <c r="U6" s="5">
        <f>SUMIFS(ДТП_Корнуолл!$P$5:$P$176,ДТП_Корнуолл!$G$5:$G$176,A6)</f>
        <v>3</v>
      </c>
      <c r="V6" s="5">
        <f>SUMIFS(ДТП_Корнуолл!$Q$5:$Q$176,ДТП_Корнуолл!$G$5:$G$176,A6)</f>
        <v>6</v>
      </c>
      <c r="W6" s="5">
        <f>SUMIFS(ДТП_Корнуолл!$R$5:$R$176,ДТП_Корнуолл!$G$5:$G$176,A6)</f>
        <v>7</v>
      </c>
    </row>
    <row r="7" spans="1:23" x14ac:dyDescent="0.25">
      <c r="A7" s="5">
        <v>3</v>
      </c>
      <c r="B7" s="5">
        <f t="shared" si="0"/>
        <v>2009</v>
      </c>
      <c r="C7" s="5">
        <f t="shared" si="1"/>
        <v>3</v>
      </c>
      <c r="D7" s="5">
        <f>COUNTIFS(ДТП_Корнуолл!$G$5:$G$176,A7,ДТП_Корнуолл!$S$5:$S$176,1)</f>
        <v>3</v>
      </c>
      <c r="E7" s="5">
        <f>SUMIFS(ДТП_Корнуолл!$P$5:$P$176,ДТП_Корнуолл!$G$5:$G$176,A7,ДТП_Корнуолл!$S$5:$S$176,1)</f>
        <v>2</v>
      </c>
      <c r="F7" s="5">
        <f>SUMIFS(ДТП_Корнуолл!$Q$5:$Q$176,ДТП_Корнуолл!$G$5:$G$176,A7,ДТП_Корнуолл!$S$5:$S$176,1)</f>
        <v>2</v>
      </c>
      <c r="G7" s="5">
        <f>SUMIFS(ДТП_Корнуолл!$R$5:$R$176,ДТП_Корнуолл!$G$5:$G$176,A7,ДТП_Корнуолл!$S$5:$S$176,1)</f>
        <v>3</v>
      </c>
      <c r="H7" s="5">
        <f t="shared" si="2"/>
        <v>0</v>
      </c>
      <c r="I7" s="5">
        <f t="shared" si="3"/>
        <v>0</v>
      </c>
      <c r="J7" s="5">
        <f t="shared" si="4"/>
        <v>1</v>
      </c>
      <c r="K7" s="5">
        <f t="shared" si="5"/>
        <v>0</v>
      </c>
      <c r="L7" s="8">
        <v>3</v>
      </c>
      <c r="M7" s="8">
        <v>2</v>
      </c>
      <c r="N7" s="8">
        <v>2</v>
      </c>
      <c r="O7" s="8">
        <v>3</v>
      </c>
      <c r="P7" s="5">
        <f t="shared" si="6"/>
        <v>0</v>
      </c>
      <c r="Q7" s="5">
        <f t="shared" si="7"/>
        <v>0</v>
      </c>
      <c r="R7" s="5">
        <f t="shared" si="8"/>
        <v>0</v>
      </c>
      <c r="S7" s="5">
        <f t="shared" si="9"/>
        <v>0</v>
      </c>
      <c r="T7" s="5">
        <f>COUNTIFS(ДТП_Корнуолл!$G$5:$G$176,A7)</f>
        <v>3</v>
      </c>
      <c r="U7" s="5">
        <f>SUMIFS(ДТП_Корнуолл!$P$5:$P$176,ДТП_Корнуолл!$G$5:$G$176,A7)</f>
        <v>2</v>
      </c>
      <c r="V7" s="5">
        <f>SUMIFS(ДТП_Корнуолл!$Q$5:$Q$176,ДТП_Корнуолл!$G$5:$G$176,A7)</f>
        <v>2</v>
      </c>
      <c r="W7" s="5">
        <f>SUMIFS(ДТП_Корнуолл!$R$5:$R$176,ДТП_Корнуолл!$G$5:$G$176,A7)</f>
        <v>3</v>
      </c>
    </row>
    <row r="8" spans="1:23" x14ac:dyDescent="0.25">
      <c r="A8" s="5">
        <v>4</v>
      </c>
      <c r="B8" s="5">
        <f t="shared" si="0"/>
        <v>2009</v>
      </c>
      <c r="C8" s="5">
        <f t="shared" si="1"/>
        <v>4</v>
      </c>
      <c r="D8" s="5">
        <f>COUNTIFS(ДТП_Корнуолл!$G$5:$G$176,A8,ДТП_Корнуолл!$S$5:$S$176,1)</f>
        <v>7</v>
      </c>
      <c r="E8" s="5">
        <f>SUMIFS(ДТП_Корнуолл!$P$5:$P$176,ДТП_Корнуолл!$G$5:$G$176,A8,ДТП_Корнуолл!$S$5:$S$176,1)</f>
        <v>3</v>
      </c>
      <c r="F8" s="5">
        <f>SUMIFS(ДТП_Корнуолл!$Q$5:$Q$176,ДТП_Корнуолл!$G$5:$G$176,A8,ДТП_Корнуолл!$S$5:$S$176,1)</f>
        <v>1</v>
      </c>
      <c r="G8" s="5">
        <f>SUMIFS(ДТП_Корнуолл!$R$5:$R$176,ДТП_Корнуолл!$G$5:$G$176,A8,ДТП_Корнуолл!$S$5:$S$176,1)</f>
        <v>2</v>
      </c>
      <c r="H8" s="5">
        <f t="shared" si="2"/>
        <v>0</v>
      </c>
      <c r="I8" s="5">
        <f t="shared" si="3"/>
        <v>0</v>
      </c>
      <c r="J8" s="5">
        <f t="shared" si="4"/>
        <v>0</v>
      </c>
      <c r="K8" s="5">
        <f t="shared" si="5"/>
        <v>1</v>
      </c>
      <c r="L8" s="8">
        <v>5</v>
      </c>
      <c r="M8" s="8">
        <v>3</v>
      </c>
      <c r="N8" s="8">
        <v>1</v>
      </c>
      <c r="O8" s="8">
        <v>2</v>
      </c>
      <c r="P8" s="5">
        <f t="shared" si="6"/>
        <v>2</v>
      </c>
      <c r="Q8" s="5">
        <f t="shared" si="7"/>
        <v>0</v>
      </c>
      <c r="R8" s="5">
        <f t="shared" si="8"/>
        <v>0</v>
      </c>
      <c r="S8" s="5">
        <f t="shared" si="9"/>
        <v>0</v>
      </c>
      <c r="T8" s="5">
        <f>COUNTIFS(ДТП_Корнуолл!$G$5:$G$176,A8)</f>
        <v>7</v>
      </c>
      <c r="U8" s="5">
        <f>SUMIFS(ДТП_Корнуолл!$P$5:$P$176,ДТП_Корнуолл!$G$5:$G$176,A8)</f>
        <v>3</v>
      </c>
      <c r="V8" s="5">
        <f>SUMIFS(ДТП_Корнуолл!$Q$5:$Q$176,ДТП_Корнуолл!$G$5:$G$176,A8)</f>
        <v>1</v>
      </c>
      <c r="W8" s="5">
        <f>SUMIFS(ДТП_Корнуолл!$R$5:$R$176,ДТП_Корнуолл!$G$5:$G$176,A8)</f>
        <v>2</v>
      </c>
    </row>
    <row r="9" spans="1:23" x14ac:dyDescent="0.25">
      <c r="A9" s="5">
        <v>5</v>
      </c>
      <c r="B9" s="5">
        <f t="shared" si="0"/>
        <v>2010</v>
      </c>
      <c r="C9" s="5">
        <f t="shared" si="1"/>
        <v>1</v>
      </c>
      <c r="D9" s="5">
        <f>COUNTIFS(ДТП_Корнуолл!$G$5:$G$176,A9,ДТП_Корнуолл!$S$5:$S$176,1)</f>
        <v>7</v>
      </c>
      <c r="E9" s="5">
        <f>SUMIFS(ДТП_Корнуолл!$P$5:$P$176,ДТП_Корнуолл!$G$5:$G$176,A9,ДТП_Корнуолл!$S$5:$S$176,1)</f>
        <v>2</v>
      </c>
      <c r="F9" s="5">
        <f>SUMIFS(ДТП_Корнуолл!$Q$5:$Q$176,ДТП_Корнуолл!$G$5:$G$176,A9,ДТП_Корнуолл!$S$5:$S$176,1)</f>
        <v>4</v>
      </c>
      <c r="G9" s="5">
        <f>SUMIFS(ДТП_Корнуолл!$R$5:$R$176,ДТП_Корнуолл!$G$5:$G$176,A9,ДТП_Корнуолл!$S$5:$S$176,1)</f>
        <v>3</v>
      </c>
      <c r="H9" s="5">
        <f t="shared" si="2"/>
        <v>1</v>
      </c>
      <c r="I9" s="5">
        <f t="shared" si="3"/>
        <v>0</v>
      </c>
      <c r="J9" s="5">
        <f t="shared" si="4"/>
        <v>0</v>
      </c>
      <c r="K9" s="5">
        <f t="shared" si="5"/>
        <v>0</v>
      </c>
      <c r="L9" s="8">
        <v>5</v>
      </c>
      <c r="M9" s="8">
        <v>2</v>
      </c>
      <c r="N9" s="8">
        <v>4</v>
      </c>
      <c r="O9" s="8">
        <v>3</v>
      </c>
      <c r="P9" s="5">
        <f t="shared" si="6"/>
        <v>2</v>
      </c>
      <c r="Q9" s="5">
        <f t="shared" si="7"/>
        <v>0</v>
      </c>
      <c r="R9" s="5">
        <f t="shared" si="8"/>
        <v>0</v>
      </c>
      <c r="S9" s="5">
        <f t="shared" si="9"/>
        <v>0</v>
      </c>
      <c r="T9" s="5">
        <f>COUNTIFS(ДТП_Корнуолл!$G$5:$G$176,A9)</f>
        <v>7</v>
      </c>
      <c r="U9" s="5">
        <f>SUMIFS(ДТП_Корнуолл!$P$5:$P$176,ДТП_Корнуолл!$G$5:$G$176,A9)</f>
        <v>2</v>
      </c>
      <c r="V9" s="5">
        <f>SUMIFS(ДТП_Корнуолл!$Q$5:$Q$176,ДТП_Корнуолл!$G$5:$G$176,A9)</f>
        <v>4</v>
      </c>
      <c r="W9" s="5">
        <f>SUMIFS(ДТП_Корнуолл!$R$5:$R$176,ДТП_Корнуолл!$G$5:$G$176,A9)</f>
        <v>3</v>
      </c>
    </row>
    <row r="10" spans="1:23" x14ac:dyDescent="0.25">
      <c r="A10" s="5">
        <v>6</v>
      </c>
      <c r="B10" s="5">
        <f t="shared" si="0"/>
        <v>2010</v>
      </c>
      <c r="C10" s="5">
        <f t="shared" si="1"/>
        <v>2</v>
      </c>
      <c r="D10" s="5">
        <f>COUNTIFS(ДТП_Корнуолл!$G$5:$G$176,A10,ДТП_Корнуолл!$S$5:$S$176,1)</f>
        <v>8</v>
      </c>
      <c r="E10" s="5">
        <f>SUMIFS(ДТП_Корнуолл!$P$5:$P$176,ДТП_Корнуолл!$G$5:$G$176,A10,ДТП_Корнуолл!$S$5:$S$176,1)</f>
        <v>2</v>
      </c>
      <c r="F10" s="5">
        <f>SUMIFS(ДТП_Корнуолл!$Q$5:$Q$176,ДТП_Корнуолл!$G$5:$G$176,A10,ДТП_Корнуолл!$S$5:$S$176,1)</f>
        <v>7</v>
      </c>
      <c r="G10" s="5">
        <f>SUMIFS(ДТП_Корнуолл!$R$5:$R$176,ДТП_Корнуолл!$G$5:$G$176,A10,ДТП_Корнуолл!$S$5:$S$176,1)</f>
        <v>7</v>
      </c>
      <c r="H10" s="5">
        <f t="shared" si="2"/>
        <v>0</v>
      </c>
      <c r="I10" s="5">
        <f t="shared" si="3"/>
        <v>1</v>
      </c>
      <c r="J10" s="5">
        <f t="shared" si="4"/>
        <v>0</v>
      </c>
      <c r="K10" s="5">
        <f t="shared" si="5"/>
        <v>0</v>
      </c>
      <c r="L10" s="8">
        <v>8</v>
      </c>
      <c r="M10" s="8">
        <v>2</v>
      </c>
      <c r="N10" s="8">
        <v>7</v>
      </c>
      <c r="O10" s="8">
        <v>7</v>
      </c>
      <c r="P10" s="5">
        <f t="shared" si="6"/>
        <v>0</v>
      </c>
      <c r="Q10" s="5">
        <f t="shared" si="7"/>
        <v>0</v>
      </c>
      <c r="R10" s="5">
        <f t="shared" si="8"/>
        <v>0</v>
      </c>
      <c r="S10" s="5">
        <f t="shared" si="9"/>
        <v>0</v>
      </c>
      <c r="T10" s="5">
        <f>COUNTIFS(ДТП_Корнуолл!$G$5:$G$176,A10)</f>
        <v>8</v>
      </c>
      <c r="U10" s="5">
        <f>SUMIFS(ДТП_Корнуолл!$P$5:$P$176,ДТП_Корнуолл!$G$5:$G$176,A10)</f>
        <v>2</v>
      </c>
      <c r="V10" s="5">
        <f>SUMIFS(ДТП_Корнуолл!$Q$5:$Q$176,ДТП_Корнуолл!$G$5:$G$176,A10)</f>
        <v>7</v>
      </c>
      <c r="W10" s="5">
        <f>SUMIFS(ДТП_Корнуолл!$R$5:$R$176,ДТП_Корнуолл!$G$5:$G$176,A10)</f>
        <v>7</v>
      </c>
    </row>
    <row r="11" spans="1:23" x14ac:dyDescent="0.25">
      <c r="A11" s="5">
        <v>7</v>
      </c>
      <c r="B11" s="5">
        <f t="shared" si="0"/>
        <v>2010</v>
      </c>
      <c r="C11" s="5">
        <f t="shared" si="1"/>
        <v>3</v>
      </c>
      <c r="D11" s="5">
        <f>COUNTIFS(ДТП_Корнуолл!$G$5:$G$176,A11,ДТП_Корнуолл!$S$5:$S$176,1)</f>
        <v>0</v>
      </c>
      <c r="E11" s="5">
        <f>SUMIFS(ДТП_Корнуолл!$P$5:$P$176,ДТП_Корнуолл!$G$5:$G$176,A11,ДТП_Корнуолл!$S$5:$S$176,1)</f>
        <v>0</v>
      </c>
      <c r="F11" s="5">
        <f>SUMIFS(ДТП_Корнуолл!$Q$5:$Q$176,ДТП_Корнуолл!$G$5:$G$176,A11,ДТП_Корнуолл!$S$5:$S$176,1)</f>
        <v>0</v>
      </c>
      <c r="G11" s="5">
        <f>SUMIFS(ДТП_Корнуолл!$R$5:$R$176,ДТП_Корнуолл!$G$5:$G$176,A11,ДТП_Корнуолл!$S$5:$S$176,1)</f>
        <v>0</v>
      </c>
      <c r="H11" s="5">
        <f t="shared" si="2"/>
        <v>0</v>
      </c>
      <c r="I11" s="5">
        <f t="shared" si="3"/>
        <v>0</v>
      </c>
      <c r="J11" s="5">
        <f t="shared" si="4"/>
        <v>1</v>
      </c>
      <c r="K11" s="5">
        <f t="shared" si="5"/>
        <v>0</v>
      </c>
      <c r="L11" s="8">
        <v>0</v>
      </c>
      <c r="M11" s="8">
        <v>0</v>
      </c>
      <c r="N11" s="8">
        <v>0</v>
      </c>
      <c r="O11" s="8">
        <v>0</v>
      </c>
      <c r="P11" s="5">
        <f t="shared" si="6"/>
        <v>0</v>
      </c>
      <c r="Q11" s="5">
        <f t="shared" si="7"/>
        <v>0</v>
      </c>
      <c r="R11" s="5">
        <f t="shared" si="8"/>
        <v>0</v>
      </c>
      <c r="S11" s="5">
        <f t="shared" si="9"/>
        <v>0</v>
      </c>
      <c r="T11" s="5">
        <f>COUNTIFS(ДТП_Корнуолл!$G$5:$G$176,A11)</f>
        <v>0</v>
      </c>
      <c r="U11" s="5">
        <f>SUMIFS(ДТП_Корнуолл!$P$5:$P$176,ДТП_Корнуолл!$G$5:$G$176,A11)</f>
        <v>0</v>
      </c>
      <c r="V11" s="5">
        <f>SUMIFS(ДТП_Корнуолл!$Q$5:$Q$176,ДТП_Корнуолл!$G$5:$G$176,A11)</f>
        <v>0</v>
      </c>
      <c r="W11" s="5">
        <f>SUMIFS(ДТП_Корнуолл!$R$5:$R$176,ДТП_Корнуолл!$G$5:$G$176,A11)</f>
        <v>0</v>
      </c>
    </row>
    <row r="12" spans="1:23" x14ac:dyDescent="0.25">
      <c r="A12" s="5">
        <v>8</v>
      </c>
      <c r="B12" s="5">
        <f t="shared" si="0"/>
        <v>2010</v>
      </c>
      <c r="C12" s="5">
        <f t="shared" si="1"/>
        <v>4</v>
      </c>
      <c r="D12" s="5">
        <f>COUNTIFS(ДТП_Корнуолл!$G$5:$G$176,A12,ДТП_Корнуолл!$S$5:$S$176,1)</f>
        <v>6</v>
      </c>
      <c r="E12" s="5">
        <f>SUMIFS(ДТП_Корнуолл!$P$5:$P$176,ДТП_Корнуолл!$G$5:$G$176,A12,ДТП_Корнуолл!$S$5:$S$176,1)</f>
        <v>4</v>
      </c>
      <c r="F12" s="5">
        <f>SUMIFS(ДТП_Корнуолл!$Q$5:$Q$176,ДТП_Корнуолл!$G$5:$G$176,A12,ДТП_Корнуолл!$S$5:$S$176,1)</f>
        <v>1</v>
      </c>
      <c r="G12" s="5">
        <f>SUMIFS(ДТП_Корнуолл!$R$5:$R$176,ДТП_Корнуолл!$G$5:$G$176,A12,ДТП_Корнуолл!$S$5:$S$176,1)</f>
        <v>0</v>
      </c>
      <c r="H12" s="5">
        <f t="shared" si="2"/>
        <v>0</v>
      </c>
      <c r="I12" s="5">
        <f t="shared" si="3"/>
        <v>0</v>
      </c>
      <c r="J12" s="5">
        <f t="shared" si="4"/>
        <v>0</v>
      </c>
      <c r="K12" s="5">
        <f t="shared" si="5"/>
        <v>1</v>
      </c>
      <c r="L12" s="8">
        <v>6</v>
      </c>
      <c r="M12" s="8">
        <v>4</v>
      </c>
      <c r="N12" s="8">
        <v>1</v>
      </c>
      <c r="O12" s="8">
        <v>0</v>
      </c>
      <c r="P12" s="5">
        <f t="shared" si="6"/>
        <v>0</v>
      </c>
      <c r="Q12" s="5">
        <f t="shared" si="7"/>
        <v>0</v>
      </c>
      <c r="R12" s="5">
        <f t="shared" si="8"/>
        <v>0</v>
      </c>
      <c r="S12" s="5">
        <f t="shared" si="9"/>
        <v>0</v>
      </c>
      <c r="T12" s="5">
        <f>COUNTIFS(ДТП_Корнуолл!$G$5:$G$176,A12)</f>
        <v>6</v>
      </c>
      <c r="U12" s="5">
        <f>SUMIFS(ДТП_Корнуолл!$P$5:$P$176,ДТП_Корнуолл!$G$5:$G$176,A12)</f>
        <v>4</v>
      </c>
      <c r="V12" s="5">
        <f>SUMIFS(ДТП_Корнуолл!$Q$5:$Q$176,ДТП_Корнуолл!$G$5:$G$176,A12)</f>
        <v>1</v>
      </c>
      <c r="W12" s="5">
        <f>SUMIFS(ДТП_Корнуолл!$R$5:$R$176,ДТП_Корнуолл!$G$5:$G$176,A12)</f>
        <v>0</v>
      </c>
    </row>
    <row r="13" spans="1:23" x14ac:dyDescent="0.25">
      <c r="A13" s="5">
        <v>9</v>
      </c>
      <c r="B13" s="5">
        <f t="shared" si="0"/>
        <v>2011</v>
      </c>
      <c r="C13" s="5">
        <f t="shared" si="1"/>
        <v>1</v>
      </c>
      <c r="D13" s="5">
        <f>COUNTIFS(ДТП_Корнуолл!$G$5:$G$176,A13,ДТП_Корнуолл!$S$5:$S$176,1)</f>
        <v>2</v>
      </c>
      <c r="E13" s="5">
        <f>SUMIFS(ДТП_Корнуолл!$P$5:$P$176,ДТП_Корнуолл!$G$5:$G$176,A13,ДТП_Корнуолл!$S$5:$S$176,1)</f>
        <v>1</v>
      </c>
      <c r="F13" s="5">
        <f>SUMIFS(ДТП_Корнуолл!$Q$5:$Q$176,ДТП_Корнуолл!$G$5:$G$176,A13,ДТП_Корнуолл!$S$5:$S$176,1)</f>
        <v>1</v>
      </c>
      <c r="G13" s="5">
        <f>SUMIFS(ДТП_Корнуолл!$R$5:$R$176,ДТП_Корнуолл!$G$5:$G$176,A13,ДТП_Корнуолл!$S$5:$S$176,1)</f>
        <v>0</v>
      </c>
      <c r="H13" s="5">
        <f t="shared" si="2"/>
        <v>1</v>
      </c>
      <c r="I13" s="5">
        <f t="shared" si="3"/>
        <v>0</v>
      </c>
      <c r="J13" s="5">
        <f t="shared" si="4"/>
        <v>0</v>
      </c>
      <c r="K13" s="5">
        <f t="shared" si="5"/>
        <v>0</v>
      </c>
      <c r="L13" s="8">
        <v>2</v>
      </c>
      <c r="M13" s="8">
        <v>1</v>
      </c>
      <c r="N13" s="8">
        <v>1</v>
      </c>
      <c r="O13" s="8">
        <v>0</v>
      </c>
      <c r="P13" s="5">
        <f t="shared" si="6"/>
        <v>0</v>
      </c>
      <c r="Q13" s="5">
        <f t="shared" si="7"/>
        <v>0</v>
      </c>
      <c r="R13" s="5">
        <f t="shared" si="8"/>
        <v>0</v>
      </c>
      <c r="S13" s="5">
        <f t="shared" si="9"/>
        <v>0</v>
      </c>
      <c r="T13" s="5">
        <f>COUNTIFS(ДТП_Корнуолл!$G$5:$G$176,A13)</f>
        <v>2</v>
      </c>
      <c r="U13" s="5">
        <f>SUMIFS(ДТП_Корнуолл!$P$5:$P$176,ДТП_Корнуолл!$G$5:$G$176,A13)</f>
        <v>1</v>
      </c>
      <c r="V13" s="5">
        <f>SUMIFS(ДТП_Корнуолл!$Q$5:$Q$176,ДТП_Корнуолл!$G$5:$G$176,A13)</f>
        <v>1</v>
      </c>
      <c r="W13" s="5">
        <f>SUMIFS(ДТП_Корнуолл!$R$5:$R$176,ДТП_Корнуолл!$G$5:$G$176,A13)</f>
        <v>0</v>
      </c>
    </row>
    <row r="14" spans="1:23" x14ac:dyDescent="0.25">
      <c r="A14" s="5">
        <v>10</v>
      </c>
      <c r="B14" s="5">
        <f t="shared" si="0"/>
        <v>2011</v>
      </c>
      <c r="C14" s="5">
        <f t="shared" si="1"/>
        <v>2</v>
      </c>
      <c r="D14" s="5">
        <f>COUNTIFS(ДТП_Корнуолл!$G$5:$G$176,A14,ДТП_Корнуолл!$S$5:$S$176,1)</f>
        <v>5</v>
      </c>
      <c r="E14" s="5">
        <f>SUMIFS(ДТП_Корнуолл!$P$5:$P$176,ДТП_Корнуолл!$G$5:$G$176,A14,ДТП_Корнуолл!$S$5:$S$176,1)</f>
        <v>2</v>
      </c>
      <c r="F14" s="5">
        <f>SUMIFS(ДТП_Корнуолл!$Q$5:$Q$176,ДТП_Корнуолл!$G$5:$G$176,A14,ДТП_Корнуолл!$S$5:$S$176,1)</f>
        <v>4</v>
      </c>
      <c r="G14" s="5">
        <f>SUMIFS(ДТП_Корнуолл!$R$5:$R$176,ДТП_Корнуолл!$G$5:$G$176,A14,ДТП_Корнуолл!$S$5:$S$176,1)</f>
        <v>5</v>
      </c>
      <c r="H14" s="5">
        <f t="shared" si="2"/>
        <v>0</v>
      </c>
      <c r="I14" s="5">
        <f t="shared" si="3"/>
        <v>1</v>
      </c>
      <c r="J14" s="5">
        <f t="shared" si="4"/>
        <v>0</v>
      </c>
      <c r="K14" s="5">
        <f t="shared" si="5"/>
        <v>0</v>
      </c>
      <c r="L14" s="8">
        <v>5</v>
      </c>
      <c r="M14" s="8">
        <v>2</v>
      </c>
      <c r="N14" s="8">
        <v>4</v>
      </c>
      <c r="O14" s="8">
        <v>5</v>
      </c>
      <c r="P14" s="5">
        <f t="shared" si="6"/>
        <v>0</v>
      </c>
      <c r="Q14" s="5">
        <f t="shared" si="7"/>
        <v>0</v>
      </c>
      <c r="R14" s="5">
        <f t="shared" si="8"/>
        <v>0</v>
      </c>
      <c r="S14" s="5">
        <f t="shared" si="9"/>
        <v>0</v>
      </c>
      <c r="T14" s="5">
        <f>COUNTIFS(ДТП_Корнуолл!$G$5:$G$176,A14)</f>
        <v>5</v>
      </c>
      <c r="U14" s="5">
        <f>SUMIFS(ДТП_Корнуолл!$P$5:$P$176,ДТП_Корнуолл!$G$5:$G$176,A14)</f>
        <v>2</v>
      </c>
      <c r="V14" s="5">
        <f>SUMIFS(ДТП_Корнуолл!$Q$5:$Q$176,ДТП_Корнуолл!$G$5:$G$176,A14)</f>
        <v>4</v>
      </c>
      <c r="W14" s="5">
        <f>SUMIFS(ДТП_Корнуолл!$R$5:$R$176,ДТП_Корнуолл!$G$5:$G$176,A14)</f>
        <v>5</v>
      </c>
    </row>
    <row r="15" spans="1:23" x14ac:dyDescent="0.25">
      <c r="A15" s="5">
        <v>11</v>
      </c>
      <c r="B15" s="5">
        <f t="shared" si="0"/>
        <v>2011</v>
      </c>
      <c r="C15" s="5">
        <f t="shared" si="1"/>
        <v>3</v>
      </c>
      <c r="D15" s="5">
        <f>COUNTIFS(ДТП_Корнуолл!$G$5:$G$176,A15,ДТП_Корнуолл!$S$5:$S$176,1)</f>
        <v>5</v>
      </c>
      <c r="E15" s="5">
        <f>SUMIFS(ДТП_Корнуолл!$P$5:$P$176,ДТП_Корнуолл!$G$5:$G$176,A15,ДТП_Корнуолл!$S$5:$S$176,1)</f>
        <v>1</v>
      </c>
      <c r="F15" s="5">
        <f>SUMIFS(ДТП_Корнуолл!$Q$5:$Q$176,ДТП_Корнуолл!$G$5:$G$176,A15,ДТП_Корнуолл!$S$5:$S$176,1)</f>
        <v>5</v>
      </c>
      <c r="G15" s="5">
        <f>SUMIFS(ДТП_Корнуолл!$R$5:$R$176,ДТП_Корнуолл!$G$5:$G$176,A15,ДТП_Корнуолл!$S$5:$S$176,1)</f>
        <v>2</v>
      </c>
      <c r="H15" s="5">
        <f t="shared" si="2"/>
        <v>0</v>
      </c>
      <c r="I15" s="5">
        <f t="shared" si="3"/>
        <v>0</v>
      </c>
      <c r="J15" s="5">
        <f t="shared" si="4"/>
        <v>1</v>
      </c>
      <c r="K15" s="5">
        <f t="shared" si="5"/>
        <v>0</v>
      </c>
      <c r="L15" s="8">
        <v>4</v>
      </c>
      <c r="M15" s="8">
        <v>1</v>
      </c>
      <c r="N15" s="8">
        <v>5</v>
      </c>
      <c r="O15" s="8">
        <v>2</v>
      </c>
      <c r="P15" s="5">
        <f t="shared" si="6"/>
        <v>1</v>
      </c>
      <c r="Q15" s="5">
        <f t="shared" si="7"/>
        <v>0</v>
      </c>
      <c r="R15" s="5">
        <f t="shared" si="8"/>
        <v>0</v>
      </c>
      <c r="S15" s="5">
        <f t="shared" si="9"/>
        <v>0</v>
      </c>
      <c r="T15" s="5">
        <f>COUNTIFS(ДТП_Корнуолл!$G$5:$G$176,A15)</f>
        <v>5</v>
      </c>
      <c r="U15" s="5">
        <f>SUMIFS(ДТП_Корнуолл!$P$5:$P$176,ДТП_Корнуолл!$G$5:$G$176,A15)</f>
        <v>1</v>
      </c>
      <c r="V15" s="5">
        <f>SUMIFS(ДТП_Корнуолл!$Q$5:$Q$176,ДТП_Корнуолл!$G$5:$G$176,A15)</f>
        <v>5</v>
      </c>
      <c r="W15" s="5">
        <f>SUMIFS(ДТП_Корнуолл!$R$5:$R$176,ДТП_Корнуолл!$G$5:$G$176,A15)</f>
        <v>2</v>
      </c>
    </row>
    <row r="16" spans="1:23" x14ac:dyDescent="0.25">
      <c r="A16" s="5">
        <v>12</v>
      </c>
      <c r="B16" s="5">
        <f t="shared" si="0"/>
        <v>2011</v>
      </c>
      <c r="C16" s="5">
        <f t="shared" si="1"/>
        <v>4</v>
      </c>
      <c r="D16" s="5">
        <f>COUNTIFS(ДТП_Корнуолл!$G$5:$G$176,A16,ДТП_Корнуолл!$S$5:$S$176,1)</f>
        <v>5</v>
      </c>
      <c r="E16" s="5">
        <f>SUMIFS(ДТП_Корнуолл!$P$5:$P$176,ДТП_Корнуолл!$G$5:$G$176,A16,ДТП_Корнуолл!$S$5:$S$176,1)</f>
        <v>4</v>
      </c>
      <c r="F16" s="5">
        <f>SUMIFS(ДТП_Корнуолл!$Q$5:$Q$176,ДТП_Корнуолл!$G$5:$G$176,A16,ДТП_Корнуолл!$S$5:$S$176,1)</f>
        <v>1</v>
      </c>
      <c r="G16" s="5">
        <f>SUMIFS(ДТП_Корнуолл!$R$5:$R$176,ДТП_Корнуолл!$G$5:$G$176,A16,ДТП_Корнуолл!$S$5:$S$176,1)</f>
        <v>3</v>
      </c>
      <c r="H16" s="5">
        <f t="shared" si="2"/>
        <v>0</v>
      </c>
      <c r="I16" s="5">
        <f t="shared" si="3"/>
        <v>0</v>
      </c>
      <c r="J16" s="5">
        <f t="shared" si="4"/>
        <v>0</v>
      </c>
      <c r="K16" s="5">
        <f t="shared" si="5"/>
        <v>1</v>
      </c>
      <c r="L16" s="8">
        <v>5</v>
      </c>
      <c r="M16" s="8">
        <v>4</v>
      </c>
      <c r="N16" s="8">
        <v>1</v>
      </c>
      <c r="O16" s="8">
        <v>3</v>
      </c>
      <c r="P16" s="5">
        <f t="shared" si="6"/>
        <v>0</v>
      </c>
      <c r="Q16" s="5">
        <f t="shared" si="7"/>
        <v>0</v>
      </c>
      <c r="R16" s="5">
        <f t="shared" si="8"/>
        <v>0</v>
      </c>
      <c r="S16" s="5">
        <f t="shared" si="9"/>
        <v>0</v>
      </c>
      <c r="T16" s="5">
        <f>COUNTIFS(ДТП_Корнуолл!$G$5:$G$176,A16)</f>
        <v>5</v>
      </c>
      <c r="U16" s="5">
        <f>SUMIFS(ДТП_Корнуолл!$P$5:$P$176,ДТП_Корнуолл!$G$5:$G$176,A16)</f>
        <v>4</v>
      </c>
      <c r="V16" s="5">
        <f>SUMIFS(ДТП_Корнуолл!$Q$5:$Q$176,ДТП_Корнуолл!$G$5:$G$176,A16)</f>
        <v>1</v>
      </c>
      <c r="W16" s="5">
        <f>SUMIFS(ДТП_Корнуолл!$R$5:$R$176,ДТП_Корнуолл!$G$5:$G$176,A16)</f>
        <v>3</v>
      </c>
    </row>
    <row r="17" spans="1:23" x14ac:dyDescent="0.25">
      <c r="A17" s="5">
        <v>13</v>
      </c>
      <c r="B17" s="5">
        <f t="shared" si="0"/>
        <v>2012</v>
      </c>
      <c r="C17" s="5">
        <f t="shared" si="1"/>
        <v>1</v>
      </c>
      <c r="D17" s="5">
        <f>COUNTIFS(ДТП_Корнуолл!$G$5:$G$176,A17,ДТП_Корнуолл!$S$5:$S$176,1)</f>
        <v>4</v>
      </c>
      <c r="E17" s="5">
        <f>SUMIFS(ДТП_Корнуолл!$P$5:$P$176,ДТП_Корнуолл!$G$5:$G$176,A17,ДТП_Корнуолл!$S$5:$S$176,1)</f>
        <v>4</v>
      </c>
      <c r="F17" s="5">
        <f>SUMIFS(ДТП_Корнуолл!$Q$5:$Q$176,ДТП_Корнуолл!$G$5:$G$176,A17,ДТП_Корнуолл!$S$5:$S$176,1)</f>
        <v>2</v>
      </c>
      <c r="G17" s="5">
        <f>SUMIFS(ДТП_Корнуолл!$R$5:$R$176,ДТП_Корнуолл!$G$5:$G$176,A17,ДТП_Корнуолл!$S$5:$S$176,1)</f>
        <v>2</v>
      </c>
      <c r="H17" s="5">
        <f t="shared" si="2"/>
        <v>1</v>
      </c>
      <c r="I17" s="5">
        <f t="shared" si="3"/>
        <v>0</v>
      </c>
      <c r="J17" s="5">
        <f t="shared" si="4"/>
        <v>0</v>
      </c>
      <c r="K17" s="5">
        <f t="shared" si="5"/>
        <v>0</v>
      </c>
      <c r="L17" s="8">
        <v>2</v>
      </c>
      <c r="M17" s="8">
        <v>2</v>
      </c>
      <c r="N17" s="8">
        <v>0</v>
      </c>
      <c r="O17" s="8">
        <v>0</v>
      </c>
      <c r="P17" s="5">
        <f t="shared" si="6"/>
        <v>2</v>
      </c>
      <c r="Q17" s="5">
        <f t="shared" si="7"/>
        <v>2</v>
      </c>
      <c r="R17" s="5">
        <f t="shared" si="8"/>
        <v>2</v>
      </c>
      <c r="S17" s="5">
        <f t="shared" si="9"/>
        <v>2</v>
      </c>
      <c r="T17" s="5">
        <f>COUNTIFS(ДТП_Корнуолл!$G$5:$G$176,A17)</f>
        <v>4</v>
      </c>
      <c r="U17" s="5">
        <f>SUMIFS(ДТП_Корнуолл!$P$5:$P$176,ДТП_Корнуолл!$G$5:$G$176,A17)</f>
        <v>4</v>
      </c>
      <c r="V17" s="5">
        <f>SUMIFS(ДТП_Корнуолл!$Q$5:$Q$176,ДТП_Корнуолл!$G$5:$G$176,A17)</f>
        <v>2</v>
      </c>
      <c r="W17" s="5">
        <f>SUMIFS(ДТП_Корнуолл!$R$5:$R$176,ДТП_Корнуолл!$G$5:$G$176,A17)</f>
        <v>2</v>
      </c>
    </row>
    <row r="18" spans="1:23" x14ac:dyDescent="0.25">
      <c r="A18" s="5">
        <v>14</v>
      </c>
      <c r="B18" s="5">
        <f t="shared" si="0"/>
        <v>2012</v>
      </c>
      <c r="C18" s="5">
        <f t="shared" si="1"/>
        <v>2</v>
      </c>
      <c r="D18" s="5">
        <f>COUNTIFS(ДТП_Корнуолл!$G$5:$G$176,A18,ДТП_Корнуолл!$S$5:$S$176,1)</f>
        <v>4</v>
      </c>
      <c r="E18" s="5">
        <f>SUMIFS(ДТП_Корнуолл!$P$5:$P$176,ДТП_Корнуолл!$G$5:$G$176,A18,ДТП_Корнуолл!$S$5:$S$176,1)</f>
        <v>2</v>
      </c>
      <c r="F18" s="5">
        <f>SUMIFS(ДТП_Корнуолл!$Q$5:$Q$176,ДТП_Корнуолл!$G$5:$G$176,A18,ДТП_Корнуолл!$S$5:$S$176,1)</f>
        <v>4</v>
      </c>
      <c r="G18" s="5">
        <f>SUMIFS(ДТП_Корнуолл!$R$5:$R$176,ДТП_Корнуолл!$G$5:$G$176,A18,ДТП_Корнуолл!$S$5:$S$176,1)</f>
        <v>3</v>
      </c>
      <c r="H18" s="5">
        <f t="shared" si="2"/>
        <v>0</v>
      </c>
      <c r="I18" s="5">
        <f t="shared" si="3"/>
        <v>1</v>
      </c>
      <c r="J18" s="5">
        <f t="shared" si="4"/>
        <v>0</v>
      </c>
      <c r="K18" s="5">
        <f t="shared" si="5"/>
        <v>0</v>
      </c>
      <c r="L18" s="8">
        <v>6</v>
      </c>
      <c r="M18" s="8">
        <v>4</v>
      </c>
      <c r="N18" s="8">
        <v>5</v>
      </c>
      <c r="O18" s="8">
        <v>5</v>
      </c>
      <c r="P18" s="5">
        <f t="shared" si="6"/>
        <v>-2</v>
      </c>
      <c r="Q18" s="5">
        <f t="shared" si="7"/>
        <v>-2</v>
      </c>
      <c r="R18" s="5">
        <f t="shared" si="8"/>
        <v>-1</v>
      </c>
      <c r="S18" s="5">
        <f t="shared" si="9"/>
        <v>-2</v>
      </c>
      <c r="T18" s="5">
        <f>COUNTIFS(ДТП_Корнуолл!$G$5:$G$176,A18)</f>
        <v>4</v>
      </c>
      <c r="U18" s="5">
        <f>SUMIFS(ДТП_Корнуолл!$P$5:$P$176,ДТП_Корнуолл!$G$5:$G$176,A18)</f>
        <v>2</v>
      </c>
      <c r="V18" s="5">
        <f>SUMIFS(ДТП_Корнуолл!$Q$5:$Q$176,ДТП_Корнуолл!$G$5:$G$176,A18)</f>
        <v>4</v>
      </c>
      <c r="W18" s="5">
        <f>SUMIFS(ДТП_Корнуолл!$R$5:$R$176,ДТП_Корнуолл!$G$5:$G$176,A18)</f>
        <v>3</v>
      </c>
    </row>
    <row r="19" spans="1:23" x14ac:dyDescent="0.25">
      <c r="A19" s="5">
        <v>15</v>
      </c>
      <c r="B19" s="5">
        <f t="shared" si="0"/>
        <v>2012</v>
      </c>
      <c r="C19" s="5">
        <f t="shared" si="1"/>
        <v>3</v>
      </c>
      <c r="D19" s="5">
        <f>COUNTIFS(ДТП_Корнуолл!$G$5:$G$176,A19,ДТП_Корнуолл!$S$5:$S$176,1)</f>
        <v>6</v>
      </c>
      <c r="E19" s="5">
        <f>SUMIFS(ДТП_Корнуолл!$P$5:$P$176,ДТП_Корнуолл!$G$5:$G$176,A19,ДТП_Корнуолл!$S$5:$S$176,1)</f>
        <v>2</v>
      </c>
      <c r="F19" s="5">
        <f>SUMIFS(ДТП_Корнуолл!$Q$5:$Q$176,ДТП_Корнуолл!$G$5:$G$176,A19,ДТП_Корнуолл!$S$5:$S$176,1)</f>
        <v>4</v>
      </c>
      <c r="G19" s="5">
        <f>SUMIFS(ДТП_Корнуолл!$R$5:$R$176,ДТП_Корнуолл!$G$5:$G$176,A19,ДТП_Корнуолл!$S$5:$S$176,1)</f>
        <v>4</v>
      </c>
      <c r="H19" s="5">
        <f t="shared" si="2"/>
        <v>0</v>
      </c>
      <c r="I19" s="5">
        <f t="shared" si="3"/>
        <v>0</v>
      </c>
      <c r="J19" s="5">
        <f t="shared" si="4"/>
        <v>1</v>
      </c>
      <c r="K19" s="5">
        <f t="shared" si="5"/>
        <v>0</v>
      </c>
      <c r="L19" s="8">
        <v>6</v>
      </c>
      <c r="M19" s="8">
        <v>2</v>
      </c>
      <c r="N19" s="8">
        <v>4</v>
      </c>
      <c r="O19" s="8">
        <v>4</v>
      </c>
      <c r="P19" s="5">
        <f t="shared" si="6"/>
        <v>0</v>
      </c>
      <c r="Q19" s="5">
        <f t="shared" si="7"/>
        <v>0</v>
      </c>
      <c r="R19" s="5">
        <f t="shared" si="8"/>
        <v>0</v>
      </c>
      <c r="S19" s="5">
        <f t="shared" si="9"/>
        <v>0</v>
      </c>
      <c r="T19" s="5">
        <f>COUNTIFS(ДТП_Корнуолл!$G$5:$G$176,A19)</f>
        <v>6</v>
      </c>
      <c r="U19" s="5">
        <f>SUMIFS(ДТП_Корнуолл!$P$5:$P$176,ДТП_Корнуолл!$G$5:$G$176,A19)</f>
        <v>2</v>
      </c>
      <c r="V19" s="5">
        <f>SUMIFS(ДТП_Корнуолл!$Q$5:$Q$176,ДТП_Корнуолл!$G$5:$G$176,A19)</f>
        <v>4</v>
      </c>
      <c r="W19" s="5">
        <f>SUMIFS(ДТП_Корнуолл!$R$5:$R$176,ДТП_Корнуолл!$G$5:$G$176,A19)</f>
        <v>4</v>
      </c>
    </row>
    <row r="20" spans="1:23" x14ac:dyDescent="0.25">
      <c r="A20" s="5">
        <v>16</v>
      </c>
      <c r="B20" s="5">
        <f t="shared" si="0"/>
        <v>2012</v>
      </c>
      <c r="C20" s="5">
        <f t="shared" si="1"/>
        <v>4</v>
      </c>
      <c r="D20" s="5">
        <f>COUNTIFS(ДТП_Корнуолл!$G$5:$G$176,A20,ДТП_Корнуолл!$S$5:$S$176,1)</f>
        <v>7</v>
      </c>
      <c r="E20" s="5">
        <f>SUMIFS(ДТП_Корнуолл!$P$5:$P$176,ДТП_Корнуолл!$G$5:$G$176,A20,ДТП_Корнуолл!$S$5:$S$176,1)</f>
        <v>5</v>
      </c>
      <c r="F20" s="5">
        <f>SUMIFS(ДТП_Корнуолл!$Q$5:$Q$176,ДТП_Корнуолл!$G$5:$G$176,A20,ДТП_Корнуолл!$S$5:$S$176,1)</f>
        <v>5</v>
      </c>
      <c r="G20" s="5">
        <f>SUMIFS(ДТП_Корнуолл!$R$5:$R$176,ДТП_Корнуолл!$G$5:$G$176,A20,ДТП_Корнуолл!$S$5:$S$176,1)</f>
        <v>2</v>
      </c>
      <c r="H20" s="5">
        <f t="shared" si="2"/>
        <v>0</v>
      </c>
      <c r="I20" s="5">
        <f t="shared" si="3"/>
        <v>0</v>
      </c>
      <c r="J20" s="5">
        <f t="shared" si="4"/>
        <v>0</v>
      </c>
      <c r="K20" s="5">
        <f t="shared" si="5"/>
        <v>1</v>
      </c>
      <c r="L20" s="8">
        <v>7</v>
      </c>
      <c r="M20" s="8">
        <v>5</v>
      </c>
      <c r="N20" s="8">
        <v>5</v>
      </c>
      <c r="O20" s="8">
        <v>2</v>
      </c>
      <c r="P20" s="5">
        <f t="shared" si="6"/>
        <v>0</v>
      </c>
      <c r="Q20" s="5">
        <f t="shared" si="7"/>
        <v>0</v>
      </c>
      <c r="R20" s="5">
        <f t="shared" si="8"/>
        <v>0</v>
      </c>
      <c r="S20" s="5">
        <f t="shared" si="9"/>
        <v>0</v>
      </c>
      <c r="T20" s="5">
        <f>COUNTIFS(ДТП_Корнуолл!$G$5:$G$176,A20)</f>
        <v>7</v>
      </c>
      <c r="U20" s="5">
        <f>SUMIFS(ДТП_Корнуолл!$P$5:$P$176,ДТП_Корнуолл!$G$5:$G$176,A20)</f>
        <v>5</v>
      </c>
      <c r="V20" s="5">
        <f>SUMIFS(ДТП_Корнуолл!$Q$5:$Q$176,ДТП_Корнуолл!$G$5:$G$176,A20)</f>
        <v>5</v>
      </c>
      <c r="W20" s="5">
        <f>SUMIFS(ДТП_Корнуолл!$R$5:$R$176,ДТП_Корнуолл!$G$5:$G$176,A20)</f>
        <v>2</v>
      </c>
    </row>
    <row r="21" spans="1:23" x14ac:dyDescent="0.25">
      <c r="A21" s="5">
        <v>17</v>
      </c>
      <c r="B21" s="5">
        <f t="shared" si="0"/>
        <v>2013</v>
      </c>
      <c r="C21" s="5">
        <f t="shared" si="1"/>
        <v>1</v>
      </c>
      <c r="D21" s="5">
        <f>COUNTIFS(ДТП_Корнуолл!$G$5:$G$176,A21,ДТП_Корнуолл!$S$5:$S$176,1)</f>
        <v>5</v>
      </c>
      <c r="E21" s="5">
        <f>SUMIFS(ДТП_Корнуолл!$P$5:$P$176,ДТП_Корнуолл!$G$5:$G$176,A21,ДТП_Корнуолл!$S$5:$S$176,1)</f>
        <v>4</v>
      </c>
      <c r="F21" s="5">
        <f>SUMIFS(ДТП_Корнуолл!$Q$5:$Q$176,ДТП_Корнуолл!$G$5:$G$176,A21,ДТП_Корнуолл!$S$5:$S$176,1)</f>
        <v>4</v>
      </c>
      <c r="G21" s="5">
        <f>SUMIFS(ДТП_Корнуолл!$R$5:$R$176,ДТП_Корнуолл!$G$5:$G$176,A21,ДТП_Корнуолл!$S$5:$S$176,1)</f>
        <v>4</v>
      </c>
      <c r="H21" s="5">
        <f t="shared" si="2"/>
        <v>1</v>
      </c>
      <c r="I21" s="5">
        <f t="shared" si="3"/>
        <v>0</v>
      </c>
      <c r="J21" s="5">
        <f t="shared" si="4"/>
        <v>0</v>
      </c>
      <c r="K21" s="5">
        <f t="shared" si="5"/>
        <v>0</v>
      </c>
      <c r="L21" s="8">
        <v>5</v>
      </c>
      <c r="M21" s="8">
        <v>4</v>
      </c>
      <c r="N21" s="8">
        <v>4</v>
      </c>
      <c r="O21" s="8">
        <v>4</v>
      </c>
      <c r="P21" s="5">
        <f t="shared" si="6"/>
        <v>0</v>
      </c>
      <c r="Q21" s="5">
        <f t="shared" si="7"/>
        <v>0</v>
      </c>
      <c r="R21" s="5">
        <f t="shared" si="8"/>
        <v>0</v>
      </c>
      <c r="S21" s="5">
        <f t="shared" si="9"/>
        <v>0</v>
      </c>
      <c r="T21" s="5">
        <f>COUNTIFS(ДТП_Корнуолл!$G$5:$G$176,A21)</f>
        <v>5</v>
      </c>
      <c r="U21" s="5">
        <f>SUMIFS(ДТП_Корнуолл!$P$5:$P$176,ДТП_Корнуолл!$G$5:$G$176,A21)</f>
        <v>4</v>
      </c>
      <c r="V21" s="5">
        <f>SUMIFS(ДТП_Корнуолл!$Q$5:$Q$176,ДТП_Корнуолл!$G$5:$G$176,A21)</f>
        <v>4</v>
      </c>
      <c r="W21" s="5">
        <f>SUMIFS(ДТП_Корнуолл!$R$5:$R$176,ДТП_Корнуолл!$G$5:$G$176,A21)</f>
        <v>4</v>
      </c>
    </row>
    <row r="22" spans="1:23" x14ac:dyDescent="0.25">
      <c r="A22" s="5">
        <v>18</v>
      </c>
      <c r="B22" s="5">
        <f t="shared" si="0"/>
        <v>2013</v>
      </c>
      <c r="C22" s="5">
        <f t="shared" si="1"/>
        <v>2</v>
      </c>
      <c r="D22" s="5">
        <f>COUNTIFS(ДТП_Корнуолл!$G$5:$G$176,A22,ДТП_Корнуолл!$S$5:$S$176,1)</f>
        <v>3</v>
      </c>
      <c r="E22" s="5">
        <f>SUMIFS(ДТП_Корнуолл!$P$5:$P$176,ДТП_Корнуолл!$G$5:$G$176,A22,ДТП_Корнуолл!$S$5:$S$176,1)</f>
        <v>2</v>
      </c>
      <c r="F22" s="5">
        <f>SUMIFS(ДТП_Корнуолл!$Q$5:$Q$176,ДТП_Корнуолл!$G$5:$G$176,A22,ДТП_Корнуолл!$S$5:$S$176,1)</f>
        <v>2</v>
      </c>
      <c r="G22" s="5">
        <f>SUMIFS(ДТП_Корнуолл!$R$5:$R$176,ДТП_Корнуолл!$G$5:$G$176,A22,ДТП_Корнуолл!$S$5:$S$176,1)</f>
        <v>3</v>
      </c>
      <c r="H22" s="5">
        <f t="shared" si="2"/>
        <v>0</v>
      </c>
      <c r="I22" s="5">
        <f t="shared" si="3"/>
        <v>1</v>
      </c>
      <c r="J22" s="5">
        <f t="shared" si="4"/>
        <v>0</v>
      </c>
      <c r="K22" s="5">
        <f t="shared" si="5"/>
        <v>0</v>
      </c>
      <c r="L22" s="8">
        <v>3</v>
      </c>
      <c r="M22" s="8">
        <v>2</v>
      </c>
      <c r="N22" s="8">
        <v>2</v>
      </c>
      <c r="O22" s="8">
        <v>3</v>
      </c>
      <c r="P22" s="5">
        <f t="shared" si="6"/>
        <v>0</v>
      </c>
      <c r="Q22" s="5">
        <f t="shared" si="7"/>
        <v>0</v>
      </c>
      <c r="R22" s="5">
        <f t="shared" si="8"/>
        <v>0</v>
      </c>
      <c r="S22" s="5">
        <f t="shared" si="9"/>
        <v>0</v>
      </c>
      <c r="T22" s="5">
        <f>COUNTIFS(ДТП_Корнуолл!$G$5:$G$176,A22)</f>
        <v>3</v>
      </c>
      <c r="U22" s="5">
        <f>SUMIFS(ДТП_Корнуолл!$P$5:$P$176,ДТП_Корнуолл!$G$5:$G$176,A22)</f>
        <v>2</v>
      </c>
      <c r="V22" s="5">
        <f>SUMIFS(ДТП_Корнуолл!$Q$5:$Q$176,ДТП_Корнуолл!$G$5:$G$176,A22)</f>
        <v>2</v>
      </c>
      <c r="W22" s="5">
        <f>SUMIFS(ДТП_Корнуолл!$R$5:$R$176,ДТП_Корнуолл!$G$5:$G$176,A22)</f>
        <v>3</v>
      </c>
    </row>
    <row r="23" spans="1:23" x14ac:dyDescent="0.25">
      <c r="A23" s="5">
        <v>19</v>
      </c>
      <c r="B23" s="5">
        <f t="shared" si="0"/>
        <v>2013</v>
      </c>
      <c r="C23" s="5">
        <f t="shared" si="1"/>
        <v>3</v>
      </c>
      <c r="D23" s="5">
        <f>COUNTIFS(ДТП_Корнуолл!$G$5:$G$176,A23,ДТП_Корнуолл!$S$5:$S$176,1)</f>
        <v>4</v>
      </c>
      <c r="E23" s="5">
        <f>SUMIFS(ДТП_Корнуолл!$P$5:$P$176,ДТП_Корнуолл!$G$5:$G$176,A23,ДТП_Корнуолл!$S$5:$S$176,1)</f>
        <v>2</v>
      </c>
      <c r="F23" s="5">
        <f>SUMIFS(ДТП_Корнуолл!$Q$5:$Q$176,ДТП_Корнуолл!$G$5:$G$176,A23,ДТП_Корнуолл!$S$5:$S$176,1)</f>
        <v>3</v>
      </c>
      <c r="G23" s="5">
        <f>SUMIFS(ДТП_Корнуолл!$R$5:$R$176,ДТП_Корнуолл!$G$5:$G$176,A23,ДТП_Корнуолл!$S$5:$S$176,1)</f>
        <v>2</v>
      </c>
      <c r="H23" s="5">
        <f t="shared" si="2"/>
        <v>0</v>
      </c>
      <c r="I23" s="5">
        <f t="shared" si="3"/>
        <v>0</v>
      </c>
      <c r="J23" s="5">
        <f t="shared" si="4"/>
        <v>1</v>
      </c>
      <c r="K23" s="5">
        <f t="shared" si="5"/>
        <v>0</v>
      </c>
      <c r="L23" s="8">
        <v>4</v>
      </c>
      <c r="M23" s="8">
        <v>2</v>
      </c>
      <c r="N23" s="8">
        <v>3</v>
      </c>
      <c r="O23" s="8">
        <v>2</v>
      </c>
      <c r="P23" s="5">
        <f t="shared" si="6"/>
        <v>0</v>
      </c>
      <c r="Q23" s="5">
        <f t="shared" si="7"/>
        <v>0</v>
      </c>
      <c r="R23" s="5">
        <f t="shared" si="8"/>
        <v>0</v>
      </c>
      <c r="S23" s="5">
        <f t="shared" si="9"/>
        <v>0</v>
      </c>
      <c r="T23" s="5">
        <f>COUNTIFS(ДТП_Корнуолл!$G$5:$G$176,A23)</f>
        <v>4</v>
      </c>
      <c r="U23" s="5">
        <f>SUMIFS(ДТП_Корнуолл!$P$5:$P$176,ДТП_Корнуолл!$G$5:$G$176,A23)</f>
        <v>2</v>
      </c>
      <c r="V23" s="5">
        <f>SUMIFS(ДТП_Корнуолл!$Q$5:$Q$176,ДТП_Корнуолл!$G$5:$G$176,A23)</f>
        <v>3</v>
      </c>
      <c r="W23" s="5">
        <f>SUMIFS(ДТП_Корнуолл!$R$5:$R$176,ДТП_Корнуолл!$G$5:$G$176,A23)</f>
        <v>2</v>
      </c>
    </row>
    <row r="24" spans="1:23" x14ac:dyDescent="0.25">
      <c r="A24" s="5">
        <v>20</v>
      </c>
      <c r="B24" s="5">
        <f t="shared" si="0"/>
        <v>2013</v>
      </c>
      <c r="C24" s="5">
        <f t="shared" si="1"/>
        <v>4</v>
      </c>
      <c r="D24" s="5">
        <f>COUNTIFS(ДТП_Корнуолл!$G$5:$G$176,A24,ДТП_Корнуолл!$S$5:$S$176,1)</f>
        <v>6</v>
      </c>
      <c r="E24" s="5">
        <f>SUMIFS(ДТП_Корнуолл!$P$5:$P$176,ДТП_Корнуолл!$G$5:$G$176,A24,ДТП_Корнуолл!$S$5:$S$176,1)</f>
        <v>3</v>
      </c>
      <c r="F24" s="5">
        <f>SUMIFS(ДТП_Корнуолл!$Q$5:$Q$176,ДТП_Корнуолл!$G$5:$G$176,A24,ДТП_Корнуолл!$S$5:$S$176,1)</f>
        <v>3</v>
      </c>
      <c r="G24" s="5">
        <f>SUMIFS(ДТП_Корнуолл!$R$5:$R$176,ДТП_Корнуолл!$G$5:$G$176,A24,ДТП_Корнуолл!$S$5:$S$176,1)</f>
        <v>1</v>
      </c>
      <c r="H24" s="5">
        <f t="shared" si="2"/>
        <v>0</v>
      </c>
      <c r="I24" s="5">
        <f t="shared" si="3"/>
        <v>0</v>
      </c>
      <c r="J24" s="5">
        <f t="shared" si="4"/>
        <v>0</v>
      </c>
      <c r="K24" s="5">
        <f t="shared" si="5"/>
        <v>1</v>
      </c>
      <c r="L24" s="8">
        <v>6</v>
      </c>
      <c r="M24" s="8">
        <v>4</v>
      </c>
      <c r="N24" s="8">
        <v>3</v>
      </c>
      <c r="O24" s="8">
        <v>1</v>
      </c>
      <c r="P24" s="5">
        <f t="shared" si="6"/>
        <v>0</v>
      </c>
      <c r="Q24" s="5">
        <f t="shared" si="7"/>
        <v>-1</v>
      </c>
      <c r="R24" s="5">
        <f t="shared" si="8"/>
        <v>0</v>
      </c>
      <c r="S24" s="5">
        <f t="shared" si="9"/>
        <v>0</v>
      </c>
      <c r="T24" s="5">
        <f>COUNTIFS(ДТП_Корнуолл!$G$5:$G$176,A24)</f>
        <v>6</v>
      </c>
      <c r="U24" s="5">
        <f>SUMIFS(ДТП_Корнуолл!$P$5:$P$176,ДТП_Корнуолл!$G$5:$G$176,A24)</f>
        <v>3</v>
      </c>
      <c r="V24" s="5">
        <f>SUMIFS(ДТП_Корнуолл!$Q$5:$Q$176,ДТП_Корнуолл!$G$5:$G$176,A24)</f>
        <v>3</v>
      </c>
      <c r="W24" s="5">
        <f>SUMIFS(ДТП_Корнуолл!$R$5:$R$176,ДТП_Корнуолл!$G$5:$G$176,A24)</f>
        <v>1</v>
      </c>
    </row>
    <row r="25" spans="1:23" x14ac:dyDescent="0.25">
      <c r="A25" s="5">
        <v>21</v>
      </c>
      <c r="B25" s="5">
        <f t="shared" si="0"/>
        <v>2014</v>
      </c>
      <c r="C25" s="5">
        <f t="shared" si="1"/>
        <v>1</v>
      </c>
      <c r="D25" s="5">
        <f>COUNTIFS(ДТП_Корнуолл!$G$5:$G$176,A25,ДТП_Корнуолл!$S$5:$S$176,1)</f>
        <v>6</v>
      </c>
      <c r="E25" s="5">
        <f>SUMIFS(ДТП_Корнуолл!$P$5:$P$176,ДТП_Корнуолл!$G$5:$G$176,A25,ДТП_Корнуолл!$S$5:$S$176,1)</f>
        <v>4</v>
      </c>
      <c r="F25" s="5">
        <f>SUMIFS(ДТП_Корнуолл!$Q$5:$Q$176,ДТП_Корнуолл!$G$5:$G$176,A25,ДТП_Корнуолл!$S$5:$S$176,1)</f>
        <v>4</v>
      </c>
      <c r="G25" s="5">
        <f>SUMIFS(ДТП_Корнуолл!$R$5:$R$176,ДТП_Корнуолл!$G$5:$G$176,A25,ДТП_Корнуолл!$S$5:$S$176,1)</f>
        <v>3</v>
      </c>
      <c r="H25" s="5">
        <f t="shared" si="2"/>
        <v>1</v>
      </c>
      <c r="I25" s="5">
        <f t="shared" si="3"/>
        <v>0</v>
      </c>
      <c r="J25" s="5">
        <f t="shared" si="4"/>
        <v>0</v>
      </c>
      <c r="K25" s="5">
        <f t="shared" si="5"/>
        <v>0</v>
      </c>
      <c r="L25" s="8">
        <v>6</v>
      </c>
      <c r="M25" s="8">
        <v>4</v>
      </c>
      <c r="N25" s="8">
        <v>4</v>
      </c>
      <c r="O25" s="8">
        <v>3</v>
      </c>
      <c r="P25" s="5">
        <f t="shared" si="6"/>
        <v>0</v>
      </c>
      <c r="Q25" s="5">
        <f t="shared" si="7"/>
        <v>0</v>
      </c>
      <c r="R25" s="5">
        <f t="shared" si="8"/>
        <v>0</v>
      </c>
      <c r="S25" s="5">
        <f t="shared" si="9"/>
        <v>0</v>
      </c>
      <c r="T25" s="5">
        <f>COUNTIFS(ДТП_Корнуолл!$G$5:$G$176,A25)</f>
        <v>6</v>
      </c>
      <c r="U25" s="5">
        <f>SUMIFS(ДТП_Корнуолл!$P$5:$P$176,ДТП_Корнуолл!$G$5:$G$176,A25)</f>
        <v>4</v>
      </c>
      <c r="V25" s="5">
        <f>SUMIFS(ДТП_Корнуолл!$Q$5:$Q$176,ДТП_Корнуолл!$G$5:$G$176,A25)</f>
        <v>4</v>
      </c>
      <c r="W25" s="5">
        <f>SUMIFS(ДТП_Корнуолл!$R$5:$R$176,ДТП_Корнуолл!$G$5:$G$176,A25)</f>
        <v>3</v>
      </c>
    </row>
    <row r="26" spans="1:23" x14ac:dyDescent="0.25">
      <c r="A26" s="5">
        <v>22</v>
      </c>
      <c r="B26" s="5">
        <f t="shared" si="0"/>
        <v>2014</v>
      </c>
      <c r="C26" s="5">
        <f t="shared" si="1"/>
        <v>2</v>
      </c>
      <c r="D26" s="5">
        <f>COUNTIFS(ДТП_Корнуолл!$G$5:$G$176,A26,ДТП_Корнуолл!$S$5:$S$176,1)</f>
        <v>7</v>
      </c>
      <c r="E26" s="5">
        <f>SUMIFS(ДТП_Корнуолл!$P$5:$P$176,ДТП_Корнуолл!$G$5:$G$176,A26,ДТП_Корнуолл!$S$5:$S$176,1)</f>
        <v>3</v>
      </c>
      <c r="F26" s="5">
        <f>SUMIFS(ДТП_Корнуолл!$Q$5:$Q$176,ДТП_Корнуолл!$G$5:$G$176,A26,ДТП_Корнуолл!$S$5:$S$176,1)</f>
        <v>6</v>
      </c>
      <c r="G26" s="5">
        <f>SUMIFS(ДТП_Корнуолл!$R$5:$R$176,ДТП_Корнуолл!$G$5:$G$176,A26,ДТП_Корнуолл!$S$5:$S$176,1)</f>
        <v>6</v>
      </c>
      <c r="H26" s="5">
        <f t="shared" si="2"/>
        <v>0</v>
      </c>
      <c r="I26" s="5">
        <f t="shared" si="3"/>
        <v>1</v>
      </c>
      <c r="J26" s="5">
        <f t="shared" si="4"/>
        <v>0</v>
      </c>
      <c r="K26" s="5">
        <f t="shared" si="5"/>
        <v>0</v>
      </c>
      <c r="L26" s="8">
        <v>7</v>
      </c>
      <c r="M26" s="8">
        <v>3</v>
      </c>
      <c r="N26" s="8">
        <v>7</v>
      </c>
      <c r="O26" s="8">
        <v>6</v>
      </c>
      <c r="P26" s="5">
        <f t="shared" si="6"/>
        <v>0</v>
      </c>
      <c r="Q26" s="5">
        <f t="shared" si="7"/>
        <v>0</v>
      </c>
      <c r="R26" s="5">
        <f t="shared" si="8"/>
        <v>-1</v>
      </c>
      <c r="S26" s="5">
        <f t="shared" si="9"/>
        <v>0</v>
      </c>
      <c r="T26" s="5">
        <f>COUNTIFS(ДТП_Корнуолл!$G$5:$G$176,A26)</f>
        <v>7</v>
      </c>
      <c r="U26" s="5">
        <f>SUMIFS(ДТП_Корнуолл!$P$5:$P$176,ДТП_Корнуолл!$G$5:$G$176,A26)</f>
        <v>3</v>
      </c>
      <c r="V26" s="5">
        <f>SUMIFS(ДТП_Корнуолл!$Q$5:$Q$176,ДТП_Корнуолл!$G$5:$G$176,A26)</f>
        <v>6</v>
      </c>
      <c r="W26" s="5">
        <f>SUMIFS(ДТП_Корнуолл!$R$5:$R$176,ДТП_Корнуолл!$G$5:$G$176,A26)</f>
        <v>6</v>
      </c>
    </row>
    <row r="27" spans="1:23" x14ac:dyDescent="0.25">
      <c r="A27" s="5">
        <v>23</v>
      </c>
      <c r="B27" s="5">
        <f t="shared" si="0"/>
        <v>2014</v>
      </c>
      <c r="C27" s="5">
        <f t="shared" si="1"/>
        <v>3</v>
      </c>
      <c r="D27" s="5">
        <f>COUNTIFS(ДТП_Корнуолл!$G$5:$G$176,A27,ДТП_Корнуолл!$S$5:$S$176,1)</f>
        <v>7</v>
      </c>
      <c r="E27" s="5">
        <f>SUMIFS(ДТП_Корнуолл!$P$5:$P$176,ДТП_Корнуолл!$G$5:$G$176,A27,ДТП_Корнуолл!$S$5:$S$176,1)</f>
        <v>3</v>
      </c>
      <c r="F27" s="5">
        <f>SUMIFS(ДТП_Корнуолл!$Q$5:$Q$176,ДТП_Корнуолл!$G$5:$G$176,A27,ДТП_Корнуолл!$S$5:$S$176,1)</f>
        <v>6</v>
      </c>
      <c r="G27" s="5">
        <f>SUMIFS(ДТП_Корнуолл!$R$5:$R$176,ДТП_Корнуолл!$G$5:$G$176,A27,ДТП_Корнуолл!$S$5:$S$176,1)</f>
        <v>5</v>
      </c>
      <c r="H27" s="5">
        <f t="shared" si="2"/>
        <v>0</v>
      </c>
      <c r="I27" s="5">
        <f t="shared" si="3"/>
        <v>0</v>
      </c>
      <c r="J27" s="5">
        <f t="shared" si="4"/>
        <v>1</v>
      </c>
      <c r="K27" s="5">
        <f t="shared" si="5"/>
        <v>0</v>
      </c>
      <c r="L27" s="8">
        <v>7</v>
      </c>
      <c r="M27" s="8">
        <v>4</v>
      </c>
      <c r="N27" s="8">
        <v>6</v>
      </c>
      <c r="O27" s="8">
        <v>5</v>
      </c>
      <c r="P27" s="5">
        <f t="shared" si="6"/>
        <v>0</v>
      </c>
      <c r="Q27" s="5">
        <f t="shared" si="7"/>
        <v>-1</v>
      </c>
      <c r="R27" s="5">
        <f t="shared" si="8"/>
        <v>0</v>
      </c>
      <c r="S27" s="5">
        <f t="shared" si="9"/>
        <v>0</v>
      </c>
      <c r="T27" s="5">
        <f>COUNTIFS(ДТП_Корнуолл!$G$5:$G$176,A27)</f>
        <v>7</v>
      </c>
      <c r="U27" s="5">
        <f>SUMIFS(ДТП_Корнуолл!$P$5:$P$176,ДТП_Корнуолл!$G$5:$G$176,A27)</f>
        <v>3</v>
      </c>
      <c r="V27" s="5">
        <f>SUMIFS(ДТП_Корнуолл!$Q$5:$Q$176,ДТП_Корнуолл!$G$5:$G$176,A27)</f>
        <v>6</v>
      </c>
      <c r="W27" s="5">
        <f>SUMIFS(ДТП_Корнуолл!$R$5:$R$176,ДТП_Корнуолл!$G$5:$G$176,A27)</f>
        <v>5</v>
      </c>
    </row>
    <row r="28" spans="1:23" x14ac:dyDescent="0.25">
      <c r="A28" s="5">
        <v>24</v>
      </c>
      <c r="B28" s="5">
        <f t="shared" si="0"/>
        <v>2014</v>
      </c>
      <c r="C28" s="5">
        <f t="shared" si="1"/>
        <v>4</v>
      </c>
      <c r="D28" s="5">
        <f>COUNTIFS(ДТП_Корнуолл!$G$5:$G$176,A28,ДТП_Корнуолл!$S$5:$S$176,1)</f>
        <v>3</v>
      </c>
      <c r="E28" s="5">
        <f>SUMIFS(ДТП_Корнуолл!$P$5:$P$176,ДТП_Корнуолл!$G$5:$G$176,A28,ДТП_Корнуолл!$S$5:$S$176,1)</f>
        <v>3</v>
      </c>
      <c r="F28" s="5">
        <f>SUMIFS(ДТП_Корнуолл!$Q$5:$Q$176,ДТП_Корнуолл!$G$5:$G$176,A28,ДТП_Корнуолл!$S$5:$S$176,1)</f>
        <v>3</v>
      </c>
      <c r="G28" s="5">
        <f>SUMIFS(ДТП_Корнуолл!$R$5:$R$176,ДТП_Корнуолл!$G$5:$G$176,A28,ДТП_Корнуолл!$S$5:$S$176,1)</f>
        <v>2</v>
      </c>
      <c r="H28" s="5">
        <f t="shared" si="2"/>
        <v>0</v>
      </c>
      <c r="I28" s="5">
        <f t="shared" si="3"/>
        <v>0</v>
      </c>
      <c r="J28" s="5">
        <f t="shared" si="4"/>
        <v>0</v>
      </c>
      <c r="K28" s="5">
        <f t="shared" si="5"/>
        <v>1</v>
      </c>
      <c r="L28" s="8">
        <v>3</v>
      </c>
      <c r="M28" s="8">
        <v>3</v>
      </c>
      <c r="N28" s="8">
        <v>3</v>
      </c>
      <c r="O28" s="8">
        <v>2</v>
      </c>
      <c r="P28" s="5">
        <f t="shared" si="6"/>
        <v>0</v>
      </c>
      <c r="Q28" s="5">
        <f t="shared" si="7"/>
        <v>0</v>
      </c>
      <c r="R28" s="5">
        <f t="shared" si="8"/>
        <v>0</v>
      </c>
      <c r="S28" s="5">
        <f t="shared" si="9"/>
        <v>0</v>
      </c>
      <c r="T28" s="5">
        <f>COUNTIFS(ДТП_Корнуолл!$G$5:$G$176,A28)</f>
        <v>3</v>
      </c>
      <c r="U28" s="5">
        <f>SUMIFS(ДТП_Корнуолл!$P$5:$P$176,ДТП_Корнуолл!$G$5:$G$176,A28)</f>
        <v>3</v>
      </c>
      <c r="V28" s="5">
        <f>SUMIFS(ДТП_Корнуолл!$Q$5:$Q$176,ДТП_Корнуолл!$G$5:$G$176,A28)</f>
        <v>3</v>
      </c>
      <c r="W28" s="5">
        <f>SUMIFS(ДТП_Корнуолл!$R$5:$R$176,ДТП_Корнуолл!$G$5:$G$176,A28)</f>
        <v>2</v>
      </c>
    </row>
    <row r="29" spans="1:23" x14ac:dyDescent="0.25">
      <c r="A29" s="5">
        <v>25</v>
      </c>
      <c r="B29" s="5">
        <f t="shared" si="0"/>
        <v>2015</v>
      </c>
      <c r="C29" s="5">
        <f t="shared" si="1"/>
        <v>1</v>
      </c>
      <c r="D29" s="5">
        <f>COUNTIFS(ДТП_Корнуолл!$G$5:$G$176,A29,ДТП_Корнуолл!$S$5:$S$176,1)</f>
        <v>1</v>
      </c>
      <c r="E29" s="5">
        <f>SUMIFS(ДТП_Корнуолл!$P$5:$P$176,ДТП_Корнуолл!$G$5:$G$176,A29,ДТП_Корнуолл!$S$5:$S$176,1)</f>
        <v>1</v>
      </c>
      <c r="F29" s="5">
        <f>SUMIFS(ДТП_Корнуолл!$Q$5:$Q$176,ДТП_Корнуолл!$G$5:$G$176,A29,ДТП_Корнуолл!$S$5:$S$176,1)</f>
        <v>1</v>
      </c>
      <c r="G29" s="5">
        <f>SUMIFS(ДТП_Корнуолл!$R$5:$R$176,ДТП_Корнуолл!$G$5:$G$176,A29,ДТП_Корнуолл!$S$5:$S$176,1)</f>
        <v>0</v>
      </c>
      <c r="H29" s="5">
        <f t="shared" si="2"/>
        <v>1</v>
      </c>
      <c r="I29" s="5">
        <f t="shared" si="3"/>
        <v>0</v>
      </c>
      <c r="J29" s="5">
        <f t="shared" si="4"/>
        <v>0</v>
      </c>
      <c r="K29" s="5">
        <f t="shared" si="5"/>
        <v>0</v>
      </c>
      <c r="L29" s="8">
        <v>1</v>
      </c>
      <c r="M29" s="8">
        <v>1</v>
      </c>
      <c r="N29" s="8">
        <v>1</v>
      </c>
      <c r="O29" s="8">
        <v>0</v>
      </c>
      <c r="P29" s="5">
        <f t="shared" si="6"/>
        <v>0</v>
      </c>
      <c r="Q29" s="5">
        <f t="shared" si="7"/>
        <v>0</v>
      </c>
      <c r="R29" s="5">
        <f t="shared" si="8"/>
        <v>0</v>
      </c>
      <c r="S29" s="5">
        <f t="shared" si="9"/>
        <v>0</v>
      </c>
      <c r="T29" s="5">
        <f>COUNTIFS(ДТП_Корнуолл!$G$5:$G$176,A29)</f>
        <v>1</v>
      </c>
      <c r="U29" s="5">
        <f>SUMIFS(ДТП_Корнуолл!$P$5:$P$176,ДТП_Корнуолл!$G$5:$G$176,A29)</f>
        <v>1</v>
      </c>
      <c r="V29" s="5">
        <f>SUMIFS(ДТП_Корнуолл!$Q$5:$Q$176,ДТП_Корнуолл!$G$5:$G$176,A29)</f>
        <v>1</v>
      </c>
      <c r="W29" s="5">
        <f>SUMIFS(ДТП_Корнуолл!$R$5:$R$176,ДТП_Корнуолл!$G$5:$G$176,A29)</f>
        <v>0</v>
      </c>
    </row>
    <row r="30" spans="1:23" x14ac:dyDescent="0.25">
      <c r="A30" s="5">
        <v>26</v>
      </c>
      <c r="B30" s="5">
        <f t="shared" si="0"/>
        <v>2015</v>
      </c>
      <c r="C30" s="5">
        <f t="shared" si="1"/>
        <v>2</v>
      </c>
      <c r="D30" s="5">
        <f>COUNTIFS(ДТП_Корнуолл!$G$5:$G$176,A30,ДТП_Корнуолл!$S$5:$S$176,1)</f>
        <v>1</v>
      </c>
      <c r="E30" s="5">
        <f>SUMIFS(ДТП_Корнуолл!$P$5:$P$176,ДТП_Корнуолл!$G$5:$G$176,A30,ДТП_Корнуолл!$S$5:$S$176,1)</f>
        <v>0</v>
      </c>
      <c r="F30" s="5">
        <f>SUMIFS(ДТП_Корнуолл!$Q$5:$Q$176,ДТП_Корнуолл!$G$5:$G$176,A30,ДТП_Корнуолл!$S$5:$S$176,1)</f>
        <v>1</v>
      </c>
      <c r="G30" s="5">
        <f>SUMIFS(ДТП_Корнуолл!$R$5:$R$176,ДТП_Корнуолл!$G$5:$G$176,A30,ДТП_Корнуолл!$S$5:$S$176,1)</f>
        <v>1</v>
      </c>
      <c r="H30" s="5">
        <f t="shared" si="2"/>
        <v>0</v>
      </c>
      <c r="I30" s="5">
        <f t="shared" si="3"/>
        <v>1</v>
      </c>
      <c r="J30" s="5">
        <f t="shared" si="4"/>
        <v>0</v>
      </c>
      <c r="K30" s="5">
        <f t="shared" si="5"/>
        <v>0</v>
      </c>
      <c r="L30" s="8">
        <v>1</v>
      </c>
      <c r="M30" s="8">
        <v>0</v>
      </c>
      <c r="N30" s="8">
        <v>1</v>
      </c>
      <c r="O30" s="8">
        <v>1</v>
      </c>
      <c r="P30" s="5">
        <f t="shared" si="6"/>
        <v>0</v>
      </c>
      <c r="Q30" s="5">
        <f t="shared" si="7"/>
        <v>0</v>
      </c>
      <c r="R30" s="5">
        <f t="shared" si="8"/>
        <v>0</v>
      </c>
      <c r="S30" s="5">
        <f t="shared" si="9"/>
        <v>0</v>
      </c>
      <c r="T30" s="5">
        <f>COUNTIFS(ДТП_Корнуолл!$G$5:$G$176,A30)</f>
        <v>1</v>
      </c>
      <c r="U30" s="5">
        <f>SUMIFS(ДТП_Корнуолл!$P$5:$P$176,ДТП_Корнуолл!$G$5:$G$176,A30)</f>
        <v>0</v>
      </c>
      <c r="V30" s="5">
        <f>SUMIFS(ДТП_Корнуолл!$Q$5:$Q$176,ДТП_Корнуолл!$G$5:$G$176,A30)</f>
        <v>1</v>
      </c>
      <c r="W30" s="5">
        <f>SUMIFS(ДТП_Корнуолл!$R$5:$R$176,ДТП_Корнуолл!$G$5:$G$176,A30)</f>
        <v>1</v>
      </c>
    </row>
    <row r="31" spans="1:23" x14ac:dyDescent="0.25">
      <c r="A31" s="5">
        <v>27</v>
      </c>
      <c r="B31" s="5">
        <f t="shared" si="0"/>
        <v>2015</v>
      </c>
      <c r="C31" s="5">
        <f t="shared" si="1"/>
        <v>3</v>
      </c>
      <c r="D31" s="5">
        <f>COUNTIFS(ДТП_Корнуолл!$G$5:$G$176,A31,ДТП_Корнуолл!$S$5:$S$176,1)</f>
        <v>4</v>
      </c>
      <c r="E31" s="5">
        <f>SUMIFS(ДТП_Корнуолл!$P$5:$P$176,ДТП_Корнуолл!$G$5:$G$176,A31,ДТП_Корнуолл!$S$5:$S$176,1)</f>
        <v>3</v>
      </c>
      <c r="F31" s="5">
        <f>SUMIFS(ДТП_Корнуолл!$Q$5:$Q$176,ДТП_Корнуолл!$G$5:$G$176,A31,ДТП_Корнуолл!$S$5:$S$176,1)</f>
        <v>1</v>
      </c>
      <c r="G31" s="5">
        <f>SUMIFS(ДТП_Корнуолл!$R$5:$R$176,ДТП_Корнуолл!$G$5:$G$176,A31,ДТП_Корнуолл!$S$5:$S$176,1)</f>
        <v>3</v>
      </c>
      <c r="H31" s="5">
        <f t="shared" si="2"/>
        <v>0</v>
      </c>
      <c r="I31" s="5">
        <f t="shared" si="3"/>
        <v>0</v>
      </c>
      <c r="J31" s="5">
        <f t="shared" si="4"/>
        <v>1</v>
      </c>
      <c r="K31" s="5">
        <f t="shared" si="5"/>
        <v>0</v>
      </c>
      <c r="L31" s="8">
        <v>4</v>
      </c>
      <c r="M31" s="8">
        <v>3</v>
      </c>
      <c r="N31" s="8">
        <v>1</v>
      </c>
      <c r="O31" s="8">
        <v>3</v>
      </c>
      <c r="P31" s="5">
        <f t="shared" si="6"/>
        <v>0</v>
      </c>
      <c r="Q31" s="5">
        <f t="shared" si="7"/>
        <v>0</v>
      </c>
      <c r="R31" s="5">
        <f t="shared" si="8"/>
        <v>0</v>
      </c>
      <c r="S31" s="5">
        <f t="shared" si="9"/>
        <v>0</v>
      </c>
      <c r="T31" s="5">
        <f>COUNTIFS(ДТП_Корнуолл!$G$5:$G$176,A31)</f>
        <v>4</v>
      </c>
      <c r="U31" s="5">
        <f>SUMIFS(ДТП_Корнуолл!$P$5:$P$176,ДТП_Корнуолл!$G$5:$G$176,A31)</f>
        <v>3</v>
      </c>
      <c r="V31" s="5">
        <f>SUMIFS(ДТП_Корнуолл!$Q$5:$Q$176,ДТП_Корнуолл!$G$5:$G$176,A31)</f>
        <v>1</v>
      </c>
      <c r="W31" s="5">
        <f>SUMIFS(ДТП_Корнуолл!$R$5:$R$176,ДТП_Корнуолл!$G$5:$G$176,A31)</f>
        <v>3</v>
      </c>
    </row>
    <row r="32" spans="1:23" x14ac:dyDescent="0.25">
      <c r="A32" s="5">
        <v>28</v>
      </c>
      <c r="B32" s="5">
        <f t="shared" si="0"/>
        <v>2015</v>
      </c>
      <c r="C32" s="5">
        <f t="shared" si="1"/>
        <v>4</v>
      </c>
      <c r="D32" s="5">
        <f>COUNTIFS(ДТП_Корнуолл!$G$5:$G$176,A32,ДТП_Корнуолл!$S$5:$S$176,1)</f>
        <v>2</v>
      </c>
      <c r="E32" s="5">
        <f>SUMIFS(ДТП_Корнуолл!$P$5:$P$176,ДТП_Корнуолл!$G$5:$G$176,A32,ДТП_Корнуолл!$S$5:$S$176,1)</f>
        <v>1</v>
      </c>
      <c r="F32" s="5">
        <f>SUMIFS(ДТП_Корнуолл!$Q$5:$Q$176,ДТП_Корнуолл!$G$5:$G$176,A32,ДТП_Корнуолл!$S$5:$S$176,1)</f>
        <v>0</v>
      </c>
      <c r="G32" s="5">
        <f>SUMIFS(ДТП_Корнуолл!$R$5:$R$176,ДТП_Корнуолл!$G$5:$G$176,A32,ДТП_Корнуолл!$S$5:$S$176,1)</f>
        <v>1</v>
      </c>
      <c r="H32" s="5">
        <f t="shared" si="2"/>
        <v>0</v>
      </c>
      <c r="I32" s="5">
        <f t="shared" si="3"/>
        <v>0</v>
      </c>
      <c r="J32" s="5">
        <f t="shared" si="4"/>
        <v>0</v>
      </c>
      <c r="K32" s="5">
        <f t="shared" si="5"/>
        <v>1</v>
      </c>
      <c r="L32" s="8">
        <v>2</v>
      </c>
      <c r="M32" s="8">
        <v>1</v>
      </c>
      <c r="N32" s="8">
        <v>0</v>
      </c>
      <c r="O32" s="8">
        <v>1</v>
      </c>
      <c r="P32" s="5">
        <f t="shared" si="6"/>
        <v>0</v>
      </c>
      <c r="Q32" s="5">
        <f t="shared" si="7"/>
        <v>0</v>
      </c>
      <c r="R32" s="5">
        <f t="shared" si="8"/>
        <v>0</v>
      </c>
      <c r="S32" s="5">
        <f t="shared" si="9"/>
        <v>0</v>
      </c>
      <c r="T32" s="5">
        <f>COUNTIFS(ДТП_Корнуолл!$G$5:$G$176,A32)</f>
        <v>2</v>
      </c>
      <c r="U32" s="5">
        <f>SUMIFS(ДТП_Корнуолл!$P$5:$P$176,ДТП_Корнуолл!$G$5:$G$176,A32)</f>
        <v>1</v>
      </c>
      <c r="V32" s="5">
        <f>SUMIFS(ДТП_Корнуолл!$Q$5:$Q$176,ДТП_Корнуолл!$G$5:$G$176,A32)</f>
        <v>0</v>
      </c>
      <c r="W32" s="5">
        <f>SUMIFS(ДТП_Корнуолл!$R$5:$R$176,ДТП_Корнуолл!$G$5:$G$176,A32)</f>
        <v>1</v>
      </c>
    </row>
    <row r="33" spans="1:23" x14ac:dyDescent="0.25">
      <c r="A33" s="5">
        <v>29</v>
      </c>
      <c r="B33" s="5">
        <f t="shared" si="0"/>
        <v>2016</v>
      </c>
      <c r="C33" s="5">
        <f t="shared" si="1"/>
        <v>1</v>
      </c>
      <c r="D33" s="5">
        <f>COUNTIFS(ДТП_Корнуолл!$G$5:$G$176,A33,ДТП_Корнуолл!$S$5:$S$176,1)</f>
        <v>4</v>
      </c>
      <c r="E33" s="5">
        <f>SUMIFS(ДТП_Корнуолл!$P$5:$P$176,ДТП_Корнуолл!$G$5:$G$176,A33,ДТП_Корнуолл!$S$5:$S$176,1)</f>
        <v>2</v>
      </c>
      <c r="F33" s="5">
        <f>SUMIFS(ДТП_Корнуолл!$Q$5:$Q$176,ДТП_Корнуолл!$G$5:$G$176,A33,ДТП_Корнуолл!$S$5:$S$176,1)</f>
        <v>1</v>
      </c>
      <c r="G33" s="5">
        <f>SUMIFS(ДТП_Корнуолл!$R$5:$R$176,ДТП_Корнуолл!$G$5:$G$176,A33,ДТП_Корнуолл!$S$5:$S$176,1)</f>
        <v>2</v>
      </c>
      <c r="H33" s="5">
        <f t="shared" si="2"/>
        <v>1</v>
      </c>
      <c r="I33" s="5">
        <f t="shared" si="3"/>
        <v>0</v>
      </c>
      <c r="J33" s="5">
        <f t="shared" si="4"/>
        <v>0</v>
      </c>
      <c r="K33" s="5">
        <f t="shared" si="5"/>
        <v>0</v>
      </c>
      <c r="L33" s="8">
        <v>4</v>
      </c>
      <c r="M33" s="8">
        <v>2</v>
      </c>
      <c r="N33" s="8">
        <v>1</v>
      </c>
      <c r="O33" s="8">
        <v>2</v>
      </c>
      <c r="P33" s="5">
        <f t="shared" si="6"/>
        <v>0</v>
      </c>
      <c r="Q33" s="5">
        <f t="shared" si="7"/>
        <v>0</v>
      </c>
      <c r="R33" s="5">
        <f t="shared" si="8"/>
        <v>0</v>
      </c>
      <c r="S33" s="5">
        <f t="shared" si="9"/>
        <v>0</v>
      </c>
      <c r="T33" s="5">
        <f>COUNTIFS(ДТП_Корнуолл!$G$5:$G$176,A33)</f>
        <v>4</v>
      </c>
      <c r="U33" s="5">
        <f>SUMIFS(ДТП_Корнуолл!$P$5:$P$176,ДТП_Корнуолл!$G$5:$G$176,A33)</f>
        <v>2</v>
      </c>
      <c r="V33" s="5">
        <f>SUMIFS(ДТП_Корнуолл!$Q$5:$Q$176,ДТП_Корнуолл!$G$5:$G$176,A33)</f>
        <v>1</v>
      </c>
      <c r="W33" s="5">
        <f>SUMIFS(ДТП_Корнуолл!$R$5:$R$176,ДТП_Корнуолл!$G$5:$G$176,A33)</f>
        <v>2</v>
      </c>
    </row>
    <row r="34" spans="1:23" x14ac:dyDescent="0.25">
      <c r="A34" s="5">
        <v>30</v>
      </c>
      <c r="B34" s="5">
        <f t="shared" si="0"/>
        <v>2016</v>
      </c>
      <c r="C34" s="5">
        <f t="shared" si="1"/>
        <v>2</v>
      </c>
      <c r="D34" s="5">
        <f>COUNTIFS(ДТП_Корнуолл!$G$5:$G$176,A34,ДТП_Корнуолл!$S$5:$S$176,1)</f>
        <v>4</v>
      </c>
      <c r="E34" s="5">
        <f>SUMIFS(ДТП_Корнуолл!$P$5:$P$176,ДТП_Корнуолл!$G$5:$G$176,A34,ДТП_Корнуолл!$S$5:$S$176,1)</f>
        <v>1</v>
      </c>
      <c r="F34" s="5">
        <f>SUMIFS(ДТП_Корнуолл!$Q$5:$Q$176,ДТП_Корнуолл!$G$5:$G$176,A34,ДТП_Корнуолл!$S$5:$S$176,1)</f>
        <v>4</v>
      </c>
      <c r="G34" s="5">
        <f>SUMIFS(ДТП_Корнуолл!$R$5:$R$176,ДТП_Корнуолл!$G$5:$G$176,A34,ДТП_Корнуолл!$S$5:$S$176,1)</f>
        <v>3</v>
      </c>
      <c r="H34" s="5">
        <f t="shared" si="2"/>
        <v>0</v>
      </c>
      <c r="I34" s="5">
        <f t="shared" si="3"/>
        <v>1</v>
      </c>
      <c r="J34" s="5">
        <f t="shared" si="4"/>
        <v>0</v>
      </c>
      <c r="K34" s="5">
        <f t="shared" si="5"/>
        <v>0</v>
      </c>
      <c r="L34" s="8">
        <v>4</v>
      </c>
      <c r="M34" s="8">
        <v>1</v>
      </c>
      <c r="N34" s="8">
        <v>4</v>
      </c>
      <c r="O34" s="8">
        <v>3</v>
      </c>
      <c r="P34" s="5">
        <f t="shared" si="6"/>
        <v>0</v>
      </c>
      <c r="Q34" s="5">
        <f t="shared" si="7"/>
        <v>0</v>
      </c>
      <c r="R34" s="5">
        <f t="shared" si="8"/>
        <v>0</v>
      </c>
      <c r="S34" s="5">
        <f t="shared" si="9"/>
        <v>0</v>
      </c>
      <c r="T34" s="5">
        <f>COUNTIFS(ДТП_Корнуолл!$G$5:$G$176,A34)</f>
        <v>4</v>
      </c>
      <c r="U34" s="5">
        <f>SUMIFS(ДТП_Корнуолл!$P$5:$P$176,ДТП_Корнуолл!$G$5:$G$176,A34)</f>
        <v>1</v>
      </c>
      <c r="V34" s="5">
        <f>SUMIFS(ДТП_Корнуолл!$Q$5:$Q$176,ДТП_Корнуолл!$G$5:$G$176,A34)</f>
        <v>4</v>
      </c>
      <c r="W34" s="5">
        <f>SUMIFS(ДТП_Корнуолл!$R$5:$R$176,ДТП_Корнуолл!$G$5:$G$176,A34)</f>
        <v>3</v>
      </c>
    </row>
    <row r="35" spans="1:23" x14ac:dyDescent="0.25">
      <c r="A35" s="5">
        <v>31</v>
      </c>
      <c r="B35" s="5">
        <f t="shared" si="0"/>
        <v>2016</v>
      </c>
      <c r="C35" s="5">
        <f t="shared" si="1"/>
        <v>3</v>
      </c>
      <c r="D35" s="5">
        <f>COUNTIFS(ДТП_Корнуолл!$G$5:$G$176,A35,ДТП_Корнуолл!$S$5:$S$176,1)</f>
        <v>9</v>
      </c>
      <c r="E35" s="5">
        <f>SUMIFS(ДТП_Корнуолл!$P$5:$P$176,ДТП_Корнуолл!$G$5:$G$176,A35,ДТП_Корнуолл!$S$5:$S$176,1)</f>
        <v>6</v>
      </c>
      <c r="F35" s="5">
        <f>SUMIFS(ДТП_Корнуолл!$Q$5:$Q$176,ДТП_Корнуолл!$G$5:$G$176,A35,ДТП_Корнуолл!$S$5:$S$176,1)</f>
        <v>4</v>
      </c>
      <c r="G35" s="5">
        <f>SUMIFS(ДТП_Корнуолл!$R$5:$R$176,ДТП_Корнуолл!$G$5:$G$176,A35,ДТП_Корнуолл!$S$5:$S$176,1)</f>
        <v>4</v>
      </c>
      <c r="H35" s="5">
        <f t="shared" si="2"/>
        <v>0</v>
      </c>
      <c r="I35" s="5">
        <f t="shared" si="3"/>
        <v>0</v>
      </c>
      <c r="J35" s="5">
        <f t="shared" si="4"/>
        <v>1</v>
      </c>
      <c r="K35" s="5">
        <f t="shared" si="5"/>
        <v>0</v>
      </c>
      <c r="L35" s="8">
        <v>8</v>
      </c>
      <c r="M35" s="8">
        <v>7</v>
      </c>
      <c r="N35" s="8">
        <v>4</v>
      </c>
      <c r="O35" s="8">
        <v>4</v>
      </c>
      <c r="P35" s="5">
        <f t="shared" si="6"/>
        <v>1</v>
      </c>
      <c r="Q35" s="5">
        <f t="shared" si="7"/>
        <v>-1</v>
      </c>
      <c r="R35" s="5">
        <f t="shared" si="8"/>
        <v>0</v>
      </c>
      <c r="S35" s="5">
        <f t="shared" si="9"/>
        <v>0</v>
      </c>
      <c r="T35" s="5">
        <f>COUNTIFS(ДТП_Корнуолл!$G$5:$G$176,A35)</f>
        <v>9</v>
      </c>
      <c r="U35" s="5">
        <f>SUMIFS(ДТП_Корнуолл!$P$5:$P$176,ДТП_Корнуолл!$G$5:$G$176,A35)</f>
        <v>6</v>
      </c>
      <c r="V35" s="5">
        <f>SUMIFS(ДТП_Корнуолл!$Q$5:$Q$176,ДТП_Корнуолл!$G$5:$G$176,A35)</f>
        <v>4</v>
      </c>
      <c r="W35" s="5">
        <f>SUMIFS(ДТП_Корнуолл!$R$5:$R$176,ДТП_Корнуолл!$G$5:$G$176,A35)</f>
        <v>4</v>
      </c>
    </row>
    <row r="36" spans="1:23" x14ac:dyDescent="0.25">
      <c r="A36" s="5">
        <v>32</v>
      </c>
      <c r="B36" s="5">
        <f t="shared" si="0"/>
        <v>2016</v>
      </c>
      <c r="C36" s="5">
        <f t="shared" si="1"/>
        <v>4</v>
      </c>
      <c r="D36" s="5">
        <f>COUNTIFS(ДТП_Корнуолл!$G$5:$G$176,A36,ДТП_Корнуолл!$S$5:$S$176,1)</f>
        <v>4</v>
      </c>
      <c r="E36" s="5">
        <f>SUMIFS(ДТП_Корнуолл!$P$5:$P$176,ДТП_Корнуолл!$G$5:$G$176,A36,ДТП_Корнуолл!$S$5:$S$176,1)</f>
        <v>1</v>
      </c>
      <c r="F36" s="5">
        <f>SUMIFS(ДТП_Корнуолл!$Q$5:$Q$176,ДТП_Корнуолл!$G$5:$G$176,A36,ДТП_Корнуолл!$S$5:$S$176,1)</f>
        <v>1</v>
      </c>
      <c r="G36" s="5">
        <f>SUMIFS(ДТП_Корнуолл!$R$5:$R$176,ДТП_Корнуолл!$G$5:$G$176,A36,ДТП_Корнуолл!$S$5:$S$176,1)</f>
        <v>1</v>
      </c>
      <c r="H36" s="5">
        <f t="shared" si="2"/>
        <v>0</v>
      </c>
      <c r="I36" s="5">
        <f t="shared" si="3"/>
        <v>0</v>
      </c>
      <c r="J36" s="5">
        <f t="shared" si="4"/>
        <v>0</v>
      </c>
      <c r="K36" s="5">
        <f t="shared" si="5"/>
        <v>1</v>
      </c>
      <c r="L36" s="8">
        <v>4</v>
      </c>
      <c r="M36" s="8">
        <v>1</v>
      </c>
      <c r="N36" s="8">
        <v>1</v>
      </c>
      <c r="O36" s="8">
        <v>1</v>
      </c>
      <c r="P36" s="5">
        <f t="shared" si="6"/>
        <v>0</v>
      </c>
      <c r="Q36" s="5">
        <f t="shared" si="7"/>
        <v>0</v>
      </c>
      <c r="R36" s="5">
        <f t="shared" si="8"/>
        <v>0</v>
      </c>
      <c r="S36" s="5">
        <f t="shared" si="9"/>
        <v>0</v>
      </c>
      <c r="T36" s="5">
        <f>COUNTIFS(ДТП_Корнуолл!$G$5:$G$176,A36)</f>
        <v>4</v>
      </c>
      <c r="U36" s="5">
        <f>SUMIFS(ДТП_Корнуолл!$P$5:$P$176,ДТП_Корнуолл!$G$5:$G$176,A36)</f>
        <v>1</v>
      </c>
      <c r="V36" s="5">
        <f>SUMIFS(ДТП_Корнуолл!$Q$5:$Q$176,ДТП_Корнуолл!$G$5:$G$176,A36)</f>
        <v>1</v>
      </c>
      <c r="W36" s="5">
        <f>SUMIFS(ДТП_Корнуолл!$R$5:$R$176,ДТП_Корнуолл!$G$5:$G$176,A36)</f>
        <v>1</v>
      </c>
    </row>
    <row r="37" spans="1:23" x14ac:dyDescent="0.25">
      <c r="A37" s="5">
        <v>33</v>
      </c>
      <c r="B37" s="5">
        <f t="shared" si="0"/>
        <v>2017</v>
      </c>
      <c r="C37" s="5">
        <f t="shared" si="1"/>
        <v>1</v>
      </c>
      <c r="D37" s="5">
        <f>COUNTIFS(ДТП_Корнуолл!$G$5:$G$176,A37,ДТП_Корнуолл!$S$5:$S$176,1)</f>
        <v>4</v>
      </c>
      <c r="E37" s="5">
        <f>SUMIFS(ДТП_Корнуолл!$P$5:$P$176,ДТП_Корнуолл!$G$5:$G$176,A37,ДТП_Корнуолл!$S$5:$S$176,1)</f>
        <v>1</v>
      </c>
      <c r="F37" s="5">
        <f>SUMIFS(ДТП_Корнуолл!$Q$5:$Q$176,ДТП_Корнуолл!$G$5:$G$176,A37,ДТП_Корнуолл!$S$5:$S$176,1)</f>
        <v>1</v>
      </c>
      <c r="G37" s="5">
        <f>SUMIFS(ДТП_Корнуолл!$R$5:$R$176,ДТП_Корнуолл!$G$5:$G$176,A37,ДТП_Корнуолл!$S$5:$S$176,1)</f>
        <v>2</v>
      </c>
      <c r="H37" s="5">
        <f t="shared" si="2"/>
        <v>1</v>
      </c>
      <c r="I37" s="5">
        <f t="shared" si="3"/>
        <v>0</v>
      </c>
      <c r="J37" s="5">
        <f t="shared" si="4"/>
        <v>0</v>
      </c>
      <c r="K37" s="5">
        <f t="shared" si="5"/>
        <v>0</v>
      </c>
      <c r="L37" s="8">
        <v>4</v>
      </c>
      <c r="M37" s="8">
        <v>1</v>
      </c>
      <c r="N37" s="8">
        <v>1</v>
      </c>
      <c r="O37" s="8">
        <v>3</v>
      </c>
      <c r="P37" s="5">
        <f t="shared" si="6"/>
        <v>0</v>
      </c>
      <c r="Q37" s="5">
        <f t="shared" si="7"/>
        <v>0</v>
      </c>
      <c r="R37" s="5">
        <f t="shared" si="8"/>
        <v>0</v>
      </c>
      <c r="S37" s="5">
        <f t="shared" si="9"/>
        <v>-1</v>
      </c>
      <c r="T37" s="5">
        <f>COUNTIFS(ДТП_Корнуолл!$G$5:$G$176,A37)</f>
        <v>4</v>
      </c>
      <c r="U37" s="5">
        <f>SUMIFS(ДТП_Корнуолл!$P$5:$P$176,ДТП_Корнуолл!$G$5:$G$176,A37)</f>
        <v>1</v>
      </c>
      <c r="V37" s="5">
        <f>SUMIFS(ДТП_Корнуолл!$Q$5:$Q$176,ДТП_Корнуолл!$G$5:$G$176,A37)</f>
        <v>1</v>
      </c>
      <c r="W37" s="5">
        <f>SUMIFS(ДТП_Корнуолл!$R$5:$R$176,ДТП_Корнуолл!$G$5:$G$176,A37)</f>
        <v>2</v>
      </c>
    </row>
    <row r="38" spans="1:23" x14ac:dyDescent="0.25">
      <c r="A38" s="5">
        <v>34</v>
      </c>
      <c r="B38" s="5">
        <f t="shared" si="0"/>
        <v>2017</v>
      </c>
      <c r="C38" s="5">
        <f t="shared" si="1"/>
        <v>2</v>
      </c>
      <c r="D38" s="5">
        <f>COUNTIFS(ДТП_Корнуолл!$G$5:$G$176,A38,ДТП_Корнуолл!$S$5:$S$176,1)</f>
        <v>6</v>
      </c>
      <c r="E38" s="5">
        <f>SUMIFS(ДТП_Корнуолл!$P$5:$P$176,ДТП_Корнуолл!$G$5:$G$176,A38,ДТП_Корнуолл!$S$5:$S$176,1)</f>
        <v>3</v>
      </c>
      <c r="F38" s="5">
        <f>SUMIFS(ДТП_Корнуолл!$Q$5:$Q$176,ДТП_Корнуолл!$G$5:$G$176,A38,ДТП_Корнуолл!$S$5:$S$176,1)</f>
        <v>2</v>
      </c>
      <c r="G38" s="5">
        <f>SUMIFS(ДТП_Корнуолл!$R$5:$R$176,ДТП_Корнуолл!$G$5:$G$176,A38,ДТП_Корнуолл!$S$5:$S$176,1)</f>
        <v>5</v>
      </c>
      <c r="H38" s="5">
        <f t="shared" si="2"/>
        <v>0</v>
      </c>
      <c r="I38" s="5">
        <f t="shared" si="3"/>
        <v>1</v>
      </c>
      <c r="J38" s="5">
        <f t="shared" si="4"/>
        <v>0</v>
      </c>
      <c r="K38" s="5">
        <f t="shared" si="5"/>
        <v>0</v>
      </c>
      <c r="L38" s="8">
        <v>6</v>
      </c>
      <c r="M38" s="8">
        <v>3</v>
      </c>
      <c r="N38" s="8">
        <v>2</v>
      </c>
      <c r="O38" s="8">
        <v>5</v>
      </c>
      <c r="P38" s="5">
        <f t="shared" si="6"/>
        <v>0</v>
      </c>
      <c r="Q38" s="5">
        <f t="shared" si="7"/>
        <v>0</v>
      </c>
      <c r="R38" s="5">
        <f t="shared" si="8"/>
        <v>0</v>
      </c>
      <c r="S38" s="5">
        <f t="shared" si="9"/>
        <v>0</v>
      </c>
      <c r="T38" s="5">
        <f>COUNTIFS(ДТП_Корнуолл!$G$5:$G$176,A38)</f>
        <v>6</v>
      </c>
      <c r="U38" s="5">
        <f>SUMIFS(ДТП_Корнуолл!$P$5:$P$176,ДТП_Корнуолл!$G$5:$G$176,A38)</f>
        <v>3</v>
      </c>
      <c r="V38" s="5">
        <f>SUMIFS(ДТП_Корнуолл!$Q$5:$Q$176,ДТП_Корнуолл!$G$5:$G$176,A38)</f>
        <v>2</v>
      </c>
      <c r="W38" s="5">
        <f>SUMIFS(ДТП_Корнуолл!$R$5:$R$176,ДТП_Корнуолл!$G$5:$G$176,A38)</f>
        <v>5</v>
      </c>
    </row>
    <row r="39" spans="1:23" x14ac:dyDescent="0.25">
      <c r="A39" s="5">
        <v>35</v>
      </c>
      <c r="B39" s="5">
        <f t="shared" si="0"/>
        <v>2017</v>
      </c>
      <c r="C39" s="5">
        <f t="shared" si="1"/>
        <v>3</v>
      </c>
      <c r="D39" s="5">
        <f>COUNTIFS(ДТП_Корнуолл!$G$5:$G$176,A39,ДТП_Корнуолл!$S$5:$S$176,1)</f>
        <v>5</v>
      </c>
      <c r="E39" s="5">
        <f>SUMIFS(ДТП_Корнуолл!$P$5:$P$176,ДТП_Корнуолл!$G$5:$G$176,A39,ДТП_Корнуолл!$S$5:$S$176,1)</f>
        <v>3</v>
      </c>
      <c r="F39" s="5">
        <f>SUMIFS(ДТП_Корнуолл!$Q$5:$Q$176,ДТП_Корнуолл!$G$5:$G$176,A39,ДТП_Корнуолл!$S$5:$S$176,1)</f>
        <v>5</v>
      </c>
      <c r="G39" s="5">
        <f>SUMIFS(ДТП_Корнуолл!$R$5:$R$176,ДТП_Корнуолл!$G$5:$G$176,A39,ДТП_Корнуолл!$S$5:$S$176,1)</f>
        <v>5</v>
      </c>
      <c r="H39" s="5">
        <f t="shared" si="2"/>
        <v>0</v>
      </c>
      <c r="I39" s="5">
        <f t="shared" si="3"/>
        <v>0</v>
      </c>
      <c r="J39" s="5">
        <f t="shared" si="4"/>
        <v>1</v>
      </c>
      <c r="K39" s="5">
        <f t="shared" si="5"/>
        <v>0</v>
      </c>
      <c r="L39" s="8">
        <v>6</v>
      </c>
      <c r="M39" s="8">
        <v>3</v>
      </c>
      <c r="N39" s="8">
        <v>5</v>
      </c>
      <c r="O39" s="8">
        <v>5</v>
      </c>
      <c r="P39" s="5">
        <f t="shared" si="6"/>
        <v>-1</v>
      </c>
      <c r="Q39" s="5">
        <f t="shared" si="7"/>
        <v>0</v>
      </c>
      <c r="R39" s="5">
        <f t="shared" si="8"/>
        <v>0</v>
      </c>
      <c r="S39" s="5">
        <f t="shared" si="9"/>
        <v>0</v>
      </c>
      <c r="T39" s="5">
        <f>COUNTIFS(ДТП_Корнуолл!$G$5:$G$176,A39)</f>
        <v>5</v>
      </c>
      <c r="U39" s="5">
        <f>SUMIFS(ДТП_Корнуолл!$P$5:$P$176,ДТП_Корнуолл!$G$5:$G$176,A39)</f>
        <v>3</v>
      </c>
      <c r="V39" s="5">
        <f>SUMIFS(ДТП_Корнуолл!$Q$5:$Q$176,ДТП_Корнуолл!$G$5:$G$176,A39)</f>
        <v>5</v>
      </c>
      <c r="W39" s="5">
        <f>SUMIFS(ДТП_Корнуолл!$R$5:$R$176,ДТП_Корнуолл!$G$5:$G$176,A39)</f>
        <v>5</v>
      </c>
    </row>
    <row r="40" spans="1:23" x14ac:dyDescent="0.25">
      <c r="A40" s="5">
        <v>36</v>
      </c>
      <c r="B40" s="5">
        <f t="shared" si="0"/>
        <v>2017</v>
      </c>
      <c r="C40" s="5">
        <f t="shared" si="1"/>
        <v>4</v>
      </c>
      <c r="D40" s="5">
        <f>COUNTIFS(ДТП_Корнуолл!$G$5:$G$176,A40,ДТП_Корнуолл!$S$5:$S$176,1)</f>
        <v>6</v>
      </c>
      <c r="E40" s="5">
        <f>SUMIFS(ДТП_Корнуолл!$P$5:$P$176,ДТП_Корнуолл!$G$5:$G$176,A40,ДТП_Корнуолл!$S$5:$S$176,1)</f>
        <v>3</v>
      </c>
      <c r="F40" s="5">
        <f>SUMIFS(ДТП_Корнуолл!$Q$5:$Q$176,ДТП_Корнуолл!$G$5:$G$176,A40,ДТП_Корнуолл!$S$5:$S$176,1)</f>
        <v>1</v>
      </c>
      <c r="G40" s="5">
        <f>SUMIFS(ДТП_Корнуолл!$R$5:$R$176,ДТП_Корнуолл!$G$5:$G$176,A40,ДТП_Корнуолл!$S$5:$S$176,1)</f>
        <v>2</v>
      </c>
      <c r="H40" s="5">
        <f t="shared" si="2"/>
        <v>0</v>
      </c>
      <c r="I40" s="5">
        <f t="shared" si="3"/>
        <v>0</v>
      </c>
      <c r="J40" s="5">
        <f t="shared" si="4"/>
        <v>0</v>
      </c>
      <c r="K40" s="5">
        <f t="shared" si="5"/>
        <v>1</v>
      </c>
      <c r="L40" s="8">
        <v>5</v>
      </c>
      <c r="M40" s="8">
        <v>3</v>
      </c>
      <c r="N40" s="8">
        <v>1</v>
      </c>
      <c r="O40" s="8">
        <v>2</v>
      </c>
      <c r="P40" s="5">
        <f t="shared" si="6"/>
        <v>1</v>
      </c>
      <c r="Q40" s="5">
        <f t="shared" si="7"/>
        <v>0</v>
      </c>
      <c r="R40" s="5">
        <f t="shared" si="8"/>
        <v>0</v>
      </c>
      <c r="S40" s="5">
        <f t="shared" si="9"/>
        <v>0</v>
      </c>
      <c r="T40" s="5">
        <f>COUNTIFS(ДТП_Корнуолл!$G$5:$G$176,A40)</f>
        <v>6</v>
      </c>
      <c r="U40" s="5">
        <f>SUMIFS(ДТП_Корнуолл!$P$5:$P$176,ДТП_Корнуолл!$G$5:$G$176,A40)</f>
        <v>3</v>
      </c>
      <c r="V40" s="5">
        <f>SUMIFS(ДТП_Корнуолл!$Q$5:$Q$176,ДТП_Корнуолл!$G$5:$G$176,A40)</f>
        <v>1</v>
      </c>
      <c r="W40" s="5">
        <f>SUMIFS(ДТП_Корнуолл!$R$5:$R$176,ДТП_Корнуолл!$G$5:$G$176,A40)</f>
        <v>2</v>
      </c>
    </row>
    <row r="41" spans="1:23" x14ac:dyDescent="0.25">
      <c r="C41" s="3" t="s">
        <v>466</v>
      </c>
      <c r="D41" s="3">
        <f>SUM(D5:D40)</f>
        <v>170</v>
      </c>
      <c r="E41" s="3">
        <f>SUM(E5:E40)</f>
        <v>87</v>
      </c>
      <c r="F41" s="3">
        <f>SUM(F5:F40)</f>
        <v>101</v>
      </c>
      <c r="G41" s="3">
        <f>SUM(G5:G40)</f>
        <v>99</v>
      </c>
      <c r="L41" s="3">
        <f t="shared" ref="L41:W41" si="10">SUM(L5:L40)</f>
        <v>162</v>
      </c>
      <c r="M41" s="3">
        <f t="shared" si="10"/>
        <v>90</v>
      </c>
      <c r="N41" s="3">
        <f t="shared" si="10"/>
        <v>101</v>
      </c>
      <c r="O41" s="3">
        <f t="shared" si="10"/>
        <v>100</v>
      </c>
      <c r="P41" s="3">
        <f t="shared" si="10"/>
        <v>8</v>
      </c>
      <c r="Q41" s="3">
        <f t="shared" si="10"/>
        <v>-3</v>
      </c>
      <c r="R41" s="3">
        <f t="shared" si="10"/>
        <v>0</v>
      </c>
      <c r="S41" s="3">
        <f t="shared" si="10"/>
        <v>-1</v>
      </c>
      <c r="T41" s="3">
        <f t="shared" si="10"/>
        <v>172</v>
      </c>
      <c r="U41" s="3">
        <f t="shared" si="10"/>
        <v>88</v>
      </c>
      <c r="V41" s="3">
        <f t="shared" si="10"/>
        <v>101</v>
      </c>
      <c r="W41" s="3">
        <f t="shared" si="10"/>
        <v>99</v>
      </c>
    </row>
    <row r="42" spans="1:23" x14ac:dyDescent="0.25">
      <c r="A42" s="6"/>
    </row>
    <row r="43" spans="1:23" x14ac:dyDescent="0.25">
      <c r="A43" s="6"/>
    </row>
  </sheetData>
  <conditionalFormatting sqref="P5:S40">
    <cfRule type="cellIs" dxfId="0" priority="1" operator="notEqual">
      <formula>0</formula>
    </cfRule>
  </conditionalFormatting>
  <pageMargins left="0.75" right="0.75" top="1" bottom="1" header="0.5" footer="0.5"/>
  <pageSetup paperSize="9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0"/>
  <sheetViews>
    <sheetView workbookViewId="0">
      <pane ySplit="4" topLeftCell="A5" activePane="bottomLeft" state="frozen"/>
      <selection pane="bottomLeft" activeCell="R21" sqref="R21"/>
    </sheetView>
  </sheetViews>
  <sheetFormatPr defaultRowHeight="15" x14ac:dyDescent="0.25"/>
  <cols>
    <col min="1" max="1" width="5" style="34" customWidth="1"/>
    <col min="2" max="2" width="4" style="34" customWidth="1"/>
    <col min="3" max="9" width="6" style="34" customWidth="1"/>
    <col min="10" max="11" width="8" style="34" customWidth="1"/>
    <col min="12" max="12" width="9" style="34" customWidth="1"/>
    <col min="13" max="13" width="8" style="34" customWidth="1"/>
    <col min="14" max="14" width="3" style="34" customWidth="1"/>
    <col min="15" max="15" width="30" style="34" customWidth="1"/>
    <col min="16" max="24" width="10" style="34" customWidth="1"/>
    <col min="25" max="16384" width="9.140625" style="34"/>
  </cols>
  <sheetData>
    <row r="1" spans="1:24" ht="18.75" x14ac:dyDescent="0.3">
      <c r="A1" s="33" t="s">
        <v>467</v>
      </c>
    </row>
    <row r="2" spans="1:24" x14ac:dyDescent="0.25">
      <c r="A2" s="6" t="s">
        <v>468</v>
      </c>
    </row>
    <row r="4" spans="1:24" x14ac:dyDescent="0.25">
      <c r="A4" s="25" t="s">
        <v>68</v>
      </c>
      <c r="B4" s="25" t="s">
        <v>469</v>
      </c>
      <c r="C4" s="25" t="s">
        <v>444</v>
      </c>
      <c r="D4" s="25" t="s">
        <v>451</v>
      </c>
      <c r="E4" s="25" t="s">
        <v>452</v>
      </c>
      <c r="F4" s="25" t="s">
        <v>453</v>
      </c>
      <c r="G4" s="25" t="s">
        <v>447</v>
      </c>
      <c r="H4" s="25" t="s">
        <v>448</v>
      </c>
      <c r="I4" s="25" t="s">
        <v>449</v>
      </c>
      <c r="J4" s="25" t="s">
        <v>446</v>
      </c>
      <c r="K4" s="25" t="s">
        <v>470</v>
      </c>
      <c r="L4" s="25" t="s">
        <v>471</v>
      </c>
      <c r="M4" s="25" t="s">
        <v>472</v>
      </c>
      <c r="O4" s="3" t="s">
        <v>473</v>
      </c>
    </row>
    <row r="5" spans="1:24" x14ac:dyDescent="0.25">
      <c r="A5" s="35">
        <v>1</v>
      </c>
      <c r="B5" s="35">
        <v>1</v>
      </c>
      <c r="C5" s="35">
        <f>Таблица_наблюдений!A5</f>
        <v>1</v>
      </c>
      <c r="D5" s="35">
        <f>Таблица_наблюдений!I5</f>
        <v>0</v>
      </c>
      <c r="E5" s="35">
        <f>Таблица_наблюдений!J5</f>
        <v>0</v>
      </c>
      <c r="F5" s="35">
        <f>Таблица_наблюдений!K5</f>
        <v>0</v>
      </c>
      <c r="G5" s="35">
        <f>Таблица_наблюдений!E5</f>
        <v>1</v>
      </c>
      <c r="H5" s="35">
        <f>Таблица_наблюдений!F5</f>
        <v>1</v>
      </c>
      <c r="I5" s="35">
        <f>Таблица_наблюдений!G5</f>
        <v>1</v>
      </c>
      <c r="J5" s="35">
        <f>Таблица_наблюдений!D5</f>
        <v>1</v>
      </c>
      <c r="K5" s="36">
        <f t="shared" ref="K5:K39" si="0">$P$13+$Q$13*C5+$S$13*D5+$T$13*E5+$U$13*F5+$V$13*G5+$W$13*H5+$X$13*I5</f>
        <v>2.3689468973671599</v>
      </c>
      <c r="L5" s="36">
        <f t="shared" ref="L5:L39" si="1">J5-K5</f>
        <v>-1.3689468973671599</v>
      </c>
      <c r="M5" s="36">
        <f t="shared" ref="M5:M39" si="2">L5^2</f>
        <v>1.8740156078111734</v>
      </c>
      <c r="P5" s="25" t="s">
        <v>449</v>
      </c>
      <c r="Q5" s="25" t="s">
        <v>448</v>
      </c>
      <c r="R5" s="25" t="s">
        <v>447</v>
      </c>
      <c r="S5" s="25" t="s">
        <v>453</v>
      </c>
      <c r="T5" s="25" t="s">
        <v>452</v>
      </c>
      <c r="U5" s="25" t="s">
        <v>451</v>
      </c>
      <c r="V5" s="25" t="s">
        <v>474</v>
      </c>
      <c r="W5" s="25" t="s">
        <v>475</v>
      </c>
    </row>
    <row r="6" spans="1:24" x14ac:dyDescent="0.25">
      <c r="A6" s="35">
        <v>2</v>
      </c>
      <c r="B6" s="35">
        <v>1</v>
      </c>
      <c r="C6" s="35">
        <f>Таблица_наблюдений!A6</f>
        <v>2</v>
      </c>
      <c r="D6" s="35">
        <f>Таблица_наблюдений!I6</f>
        <v>1</v>
      </c>
      <c r="E6" s="35">
        <f>Таблица_наблюдений!J6</f>
        <v>0</v>
      </c>
      <c r="F6" s="35">
        <f>Таблица_наблюдений!K6</f>
        <v>0</v>
      </c>
      <c r="G6" s="35">
        <f>Таблица_наблюдений!E6</f>
        <v>3</v>
      </c>
      <c r="H6" s="35">
        <f>Таблица_наблюдений!F6</f>
        <v>6</v>
      </c>
      <c r="I6" s="35">
        <f>Таблица_наблюдений!G6</f>
        <v>7</v>
      </c>
      <c r="J6" s="35">
        <f>Таблица_наблюдений!D6</f>
        <v>9</v>
      </c>
      <c r="K6" s="36">
        <f t="shared" si="0"/>
        <v>7.9585447054077179</v>
      </c>
      <c r="L6" s="36">
        <f t="shared" si="1"/>
        <v>1.0414552945922821</v>
      </c>
      <c r="M6" s="36">
        <f t="shared" si="2"/>
        <v>1.0846291306342972</v>
      </c>
      <c r="O6" s="6" t="s">
        <v>476</v>
      </c>
      <c r="P6" s="40">
        <f t="array" ref="P6:W10">IFERROR(LINEST(J5:J39,C5:I39,TRUE,TRUE),"")</f>
        <v>0.51652937731355808</v>
      </c>
      <c r="Q6" s="40">
        <v>0.35457985704415779</v>
      </c>
      <c r="R6" s="40">
        <v>0.56828667892041418</v>
      </c>
      <c r="S6" s="40">
        <v>1.207737934793202</v>
      </c>
      <c r="T6" s="40">
        <v>-8.563519048813481E-2</v>
      </c>
      <c r="U6" s="40">
        <v>-0.41037256325394311</v>
      </c>
      <c r="V6" s="40">
        <v>-8.6785356484656261E-3</v>
      </c>
      <c r="W6" s="40">
        <v>0.93822951973749547</v>
      </c>
    </row>
    <row r="7" spans="1:24" x14ac:dyDescent="0.25">
      <c r="A7" s="35">
        <v>3</v>
      </c>
      <c r="B7" s="35">
        <v>1</v>
      </c>
      <c r="C7" s="35">
        <f>Таблица_наблюдений!A7</f>
        <v>3</v>
      </c>
      <c r="D7" s="35">
        <f>Таблица_наблюдений!I7</f>
        <v>0</v>
      </c>
      <c r="E7" s="35">
        <f>Таблица_наблюдений!J7</f>
        <v>1</v>
      </c>
      <c r="F7" s="35">
        <f>Таблица_наблюдений!K7</f>
        <v>0</v>
      </c>
      <c r="G7" s="35">
        <f>Таблица_наблюдений!E7</f>
        <v>2</v>
      </c>
      <c r="H7" s="35">
        <f>Таблица_наблюдений!F7</f>
        <v>2</v>
      </c>
      <c r="I7" s="35">
        <f>Таблица_наблюдений!G7</f>
        <v>3</v>
      </c>
      <c r="J7" s="35">
        <f>Таблица_наблюдений!D7</f>
        <v>3</v>
      </c>
      <c r="K7" s="36">
        <f t="shared" si="0"/>
        <v>4.2218799261737825</v>
      </c>
      <c r="L7" s="36">
        <f t="shared" si="1"/>
        <v>-1.2218799261737825</v>
      </c>
      <c r="M7" s="36">
        <f t="shared" si="2"/>
        <v>1.4929905539864481</v>
      </c>
      <c r="O7" s="6" t="s">
        <v>477</v>
      </c>
      <c r="P7" s="40">
        <v>0.21925381000467248</v>
      </c>
      <c r="Q7" s="40">
        <v>0.176068307735255</v>
      </c>
      <c r="R7" s="40">
        <v>0.20440451525197414</v>
      </c>
      <c r="S7" s="40">
        <v>0.61142911030413749</v>
      </c>
      <c r="T7" s="40">
        <v>0.65826387489985483</v>
      </c>
      <c r="U7" s="40">
        <v>0.76193319659806347</v>
      </c>
      <c r="V7" s="40">
        <v>2.0770177695784403E-2</v>
      </c>
      <c r="W7" s="40">
        <v>0.69024512789542192</v>
      </c>
    </row>
    <row r="8" spans="1:24" x14ac:dyDescent="0.25">
      <c r="A8" s="35">
        <v>4</v>
      </c>
      <c r="B8" s="35">
        <v>1</v>
      </c>
      <c r="C8" s="35">
        <f>Таблица_наблюдений!A8</f>
        <v>4</v>
      </c>
      <c r="D8" s="35">
        <f>Таблица_наблюдений!I8</f>
        <v>0</v>
      </c>
      <c r="E8" s="35">
        <f>Таблица_наблюдений!J8</f>
        <v>0</v>
      </c>
      <c r="F8" s="35">
        <f>Таблица_наблюдений!K8</f>
        <v>1</v>
      </c>
      <c r="G8" s="35">
        <f>Таблица_наблюдений!E8</f>
        <v>3</v>
      </c>
      <c r="H8" s="35">
        <f>Таблица_наблюдений!F8</f>
        <v>1</v>
      </c>
      <c r="I8" s="35">
        <f>Таблица_наблюдений!G8</f>
        <v>2</v>
      </c>
      <c r="J8" s="35">
        <f>Таблица_наблюдений!D8</f>
        <v>7</v>
      </c>
      <c r="K8" s="36">
        <f t="shared" si="0"/>
        <v>5.2037519603693516</v>
      </c>
      <c r="L8" s="36">
        <f t="shared" si="1"/>
        <v>1.7962480396306484</v>
      </c>
      <c r="M8" s="36">
        <f t="shared" si="2"/>
        <v>3.2265070198769474</v>
      </c>
      <c r="O8" s="6" t="s">
        <v>478</v>
      </c>
      <c r="P8" s="40">
        <v>0.7358713219760723</v>
      </c>
      <c r="Q8" s="40">
        <v>1.2205497303691761</v>
      </c>
      <c r="R8" s="40" t="str">
        <v/>
      </c>
      <c r="S8" s="40" t="str">
        <v/>
      </c>
      <c r="T8" s="40" t="str">
        <v/>
      </c>
      <c r="U8" s="40" t="str">
        <v/>
      </c>
      <c r="V8" s="40" t="str">
        <v/>
      </c>
      <c r="W8" s="40" t="str">
        <v/>
      </c>
    </row>
    <row r="9" spans="1:24" x14ac:dyDescent="0.25">
      <c r="A9" s="35">
        <v>5</v>
      </c>
      <c r="B9" s="35">
        <v>1</v>
      </c>
      <c r="C9" s="35">
        <f>Таблица_наблюдений!A9</f>
        <v>5</v>
      </c>
      <c r="D9" s="35">
        <f>Таблица_наблюдений!I9</f>
        <v>0</v>
      </c>
      <c r="E9" s="35">
        <f>Таблица_наблюдений!J9</f>
        <v>0</v>
      </c>
      <c r="F9" s="35">
        <f>Таблица_наблюдений!K9</f>
        <v>0</v>
      </c>
      <c r="G9" s="35">
        <f>Таблица_наблюдений!E9</f>
        <v>2</v>
      </c>
      <c r="H9" s="35">
        <f>Таблица_наблюдений!F9</f>
        <v>4</v>
      </c>
      <c r="I9" s="35">
        <f>Таблица_наблюдений!G9</f>
        <v>3</v>
      </c>
      <c r="J9" s="35">
        <f>Таблица_наблюдений!D9</f>
        <v>7</v>
      </c>
      <c r="K9" s="36">
        <f t="shared" si="0"/>
        <v>4.9993177594533016</v>
      </c>
      <c r="L9" s="36">
        <f t="shared" si="1"/>
        <v>2.0006822405466984</v>
      </c>
      <c r="M9" s="36">
        <f t="shared" si="2"/>
        <v>4.0027294276389576</v>
      </c>
      <c r="O9" s="6" t="s">
        <v>479</v>
      </c>
      <c r="P9" s="40">
        <v>10.746128873893618</v>
      </c>
      <c r="Q9" s="40">
        <v>27</v>
      </c>
      <c r="R9" s="40" t="str">
        <v/>
      </c>
      <c r="S9" s="40" t="str">
        <v/>
      </c>
      <c r="T9" s="40" t="str">
        <v/>
      </c>
      <c r="U9" s="40" t="str">
        <v/>
      </c>
      <c r="V9" s="40" t="str">
        <v/>
      </c>
      <c r="W9" s="40" t="str">
        <v/>
      </c>
    </row>
    <row r="10" spans="1:24" x14ac:dyDescent="0.25">
      <c r="A10" s="35">
        <v>6</v>
      </c>
      <c r="B10" s="35">
        <v>1</v>
      </c>
      <c r="C10" s="35">
        <f>Таблица_наблюдений!A10</f>
        <v>6</v>
      </c>
      <c r="D10" s="35">
        <f>Таблица_наблюдений!I10</f>
        <v>1</v>
      </c>
      <c r="E10" s="35">
        <f>Таблица_наблюдений!J10</f>
        <v>0</v>
      </c>
      <c r="F10" s="35">
        <f>Таблица_наблюдений!K10</f>
        <v>0</v>
      </c>
      <c r="G10" s="35">
        <f>Таблица_наблюдений!E10</f>
        <v>2</v>
      </c>
      <c r="H10" s="35">
        <f>Таблица_наблюдений!F10</f>
        <v>7</v>
      </c>
      <c r="I10" s="35">
        <f>Таблица_наблюдений!G10</f>
        <v>7</v>
      </c>
      <c r="J10" s="35">
        <f>Таблица_наблюдений!D10</f>
        <v>8</v>
      </c>
      <c r="K10" s="36">
        <f t="shared" si="0"/>
        <v>7.7101237409375987</v>
      </c>
      <c r="L10" s="36">
        <f t="shared" si="1"/>
        <v>0.28987625906240133</v>
      </c>
      <c r="M10" s="36">
        <f t="shared" si="2"/>
        <v>8.4028245568012416E-2</v>
      </c>
      <c r="O10" s="6" t="s">
        <v>480</v>
      </c>
      <c r="P10" s="40">
        <v>112.06268988949901</v>
      </c>
      <c r="Q10" s="40">
        <v>40.223024396215258</v>
      </c>
      <c r="R10" s="40" t="str">
        <v/>
      </c>
      <c r="S10" s="40" t="str">
        <v/>
      </c>
      <c r="T10" s="40" t="str">
        <v/>
      </c>
      <c r="U10" s="40" t="str">
        <v/>
      </c>
      <c r="V10" s="40" t="str">
        <v/>
      </c>
      <c r="W10" s="40" t="str">
        <v/>
      </c>
    </row>
    <row r="11" spans="1:24" x14ac:dyDescent="0.25">
      <c r="A11" s="35">
        <v>7</v>
      </c>
      <c r="B11" s="35">
        <v>1</v>
      </c>
      <c r="C11" s="35">
        <f>Таблица_наблюдений!A12</f>
        <v>8</v>
      </c>
      <c r="D11" s="35">
        <f>Таблица_наблюдений!I12</f>
        <v>0</v>
      </c>
      <c r="E11" s="35">
        <f>Таблица_наблюдений!J12</f>
        <v>0</v>
      </c>
      <c r="F11" s="35">
        <f>Таблица_наблюдений!K12</f>
        <v>1</v>
      </c>
      <c r="G11" s="35">
        <f>Таблица_наблюдений!E12</f>
        <v>4</v>
      </c>
      <c r="H11" s="35">
        <f>Таблица_наблюдений!F12</f>
        <v>1</v>
      </c>
      <c r="I11" s="35">
        <f>Таблица_наблюдений!G12</f>
        <v>0</v>
      </c>
      <c r="J11" s="35">
        <f>Таблица_наблюдений!D12</f>
        <v>6</v>
      </c>
      <c r="K11" s="36">
        <f t="shared" si="0"/>
        <v>4.7042657420687863</v>
      </c>
      <c r="L11" s="36">
        <f t="shared" si="1"/>
        <v>1.2957342579312137</v>
      </c>
      <c r="M11" s="36">
        <f t="shared" si="2"/>
        <v>1.6789272671765529</v>
      </c>
    </row>
    <row r="12" spans="1:24" x14ac:dyDescent="0.25">
      <c r="A12" s="35">
        <v>8</v>
      </c>
      <c r="B12" s="35">
        <v>1</v>
      </c>
      <c r="C12" s="35">
        <f>Таблица_наблюдений!A13</f>
        <v>9</v>
      </c>
      <c r="D12" s="35">
        <f>Таблица_наблюдений!I13</f>
        <v>0</v>
      </c>
      <c r="E12" s="35">
        <f>Таблица_наблюдений!J13</f>
        <v>0</v>
      </c>
      <c r="F12" s="35">
        <f>Таблица_наблюдений!K13</f>
        <v>0</v>
      </c>
      <c r="G12" s="35">
        <f>Таблица_наблюдений!E13</f>
        <v>1</v>
      </c>
      <c r="H12" s="35">
        <f>Таблица_наблюдений!F13</f>
        <v>1</v>
      </c>
      <c r="I12" s="35">
        <f>Таблица_наблюдений!G13</f>
        <v>0</v>
      </c>
      <c r="J12" s="35">
        <f>Таблица_наблюдений!D13</f>
        <v>2</v>
      </c>
      <c r="K12" s="36">
        <f t="shared" si="0"/>
        <v>1.7829892348658769</v>
      </c>
      <c r="L12" s="36">
        <f t="shared" si="1"/>
        <v>0.2170107651341231</v>
      </c>
      <c r="M12" s="36">
        <f t="shared" si="2"/>
        <v>4.7093672184097539E-2</v>
      </c>
      <c r="O12" s="3" t="s">
        <v>481</v>
      </c>
      <c r="P12" s="25" t="s">
        <v>475</v>
      </c>
      <c r="Q12" s="25" t="s">
        <v>474</v>
      </c>
      <c r="R12" s="25" t="s">
        <v>450</v>
      </c>
      <c r="S12" s="25" t="s">
        <v>451</v>
      </c>
      <c r="T12" s="25" t="s">
        <v>452</v>
      </c>
      <c r="U12" s="25" t="s">
        <v>453</v>
      </c>
      <c r="V12" s="25" t="s">
        <v>447</v>
      </c>
      <c r="W12" s="25" t="s">
        <v>448</v>
      </c>
      <c r="X12" s="25" t="s">
        <v>449</v>
      </c>
    </row>
    <row r="13" spans="1:24" x14ac:dyDescent="0.25">
      <c r="A13" s="35">
        <v>9</v>
      </c>
      <c r="B13" s="35">
        <v>1</v>
      </c>
      <c r="C13" s="35">
        <f>Таблица_наблюдений!A14</f>
        <v>10</v>
      </c>
      <c r="D13" s="35">
        <f>Таблица_наблюдений!I14</f>
        <v>1</v>
      </c>
      <c r="E13" s="35">
        <f>Таблица_наблюдений!J14</f>
        <v>0</v>
      </c>
      <c r="F13" s="35">
        <f>Таблица_наблюдений!K14</f>
        <v>0</v>
      </c>
      <c r="G13" s="35">
        <f>Таблица_наблюдений!E14</f>
        <v>2</v>
      </c>
      <c r="H13" s="35">
        <f>Таблица_наблюдений!F14</f>
        <v>4</v>
      </c>
      <c r="I13" s="35">
        <f>Таблица_наблюдений!G14</f>
        <v>5</v>
      </c>
      <c r="J13" s="35">
        <f>Таблица_наблюдений!D14</f>
        <v>5</v>
      </c>
      <c r="K13" s="36">
        <f t="shared" si="0"/>
        <v>5.5786112725841459</v>
      </c>
      <c r="L13" s="36">
        <f t="shared" si="1"/>
        <v>-0.57861127258414591</v>
      </c>
      <c r="M13" s="36">
        <f t="shared" si="2"/>
        <v>0.3347910047614448</v>
      </c>
      <c r="O13" s="6" t="s">
        <v>482</v>
      </c>
      <c r="P13" s="12">
        <f>W6</f>
        <v>0.93822951973749547</v>
      </c>
      <c r="Q13" s="12">
        <f>V6</f>
        <v>-8.6785356484656261E-3</v>
      </c>
      <c r="R13" s="12">
        <v>0</v>
      </c>
      <c r="S13" s="12">
        <f>U6</f>
        <v>-0.41037256325394311</v>
      </c>
      <c r="T13" s="12">
        <f>T6</f>
        <v>-8.563519048813481E-2</v>
      </c>
      <c r="U13" s="12">
        <f>S6</f>
        <v>1.207737934793202</v>
      </c>
      <c r="V13" s="12">
        <f>R6</f>
        <v>0.56828667892041418</v>
      </c>
      <c r="W13" s="12">
        <f>Q6</f>
        <v>0.35457985704415779</v>
      </c>
      <c r="X13" s="12">
        <f>P6</f>
        <v>0.51652937731355808</v>
      </c>
    </row>
    <row r="14" spans="1:24" x14ac:dyDescent="0.25">
      <c r="A14" s="35">
        <v>10</v>
      </c>
      <c r="B14" s="35">
        <v>1</v>
      </c>
      <c r="C14" s="35">
        <f>Таблица_наблюдений!A15</f>
        <v>11</v>
      </c>
      <c r="D14" s="35">
        <f>Таблица_наблюдений!I15</f>
        <v>0</v>
      </c>
      <c r="E14" s="35">
        <f>Таблица_наблюдений!J15</f>
        <v>1</v>
      </c>
      <c r="F14" s="35">
        <f>Таблица_наблюдений!K15</f>
        <v>0</v>
      </c>
      <c r="G14" s="35">
        <f>Таблица_наблюдений!E15</f>
        <v>1</v>
      </c>
      <c r="H14" s="35">
        <f>Таблица_наблюдений!F15</f>
        <v>5</v>
      </c>
      <c r="I14" s="35">
        <f>Таблица_наблюдений!G15</f>
        <v>2</v>
      </c>
      <c r="J14" s="35">
        <f>Таблица_наблюдений!D15</f>
        <v>5</v>
      </c>
      <c r="K14" s="36">
        <f t="shared" si="0"/>
        <v>4.1313751558845579</v>
      </c>
      <c r="L14" s="36">
        <f t="shared" si="1"/>
        <v>0.86862484411544205</v>
      </c>
      <c r="M14" s="36">
        <f t="shared" si="2"/>
        <v>0.75450911981457602</v>
      </c>
      <c r="O14" s="6" t="s">
        <v>477</v>
      </c>
      <c r="P14" s="38">
        <f>W7</f>
        <v>0.69024512789542192</v>
      </c>
      <c r="Q14" s="38">
        <f>V7</f>
        <v>2.0770177695784403E-2</v>
      </c>
      <c r="R14" s="38" t="s">
        <v>483</v>
      </c>
      <c r="S14" s="38">
        <f>U7</f>
        <v>0.76193319659806347</v>
      </c>
      <c r="T14" s="38">
        <f>T7</f>
        <v>0.65826387489985483</v>
      </c>
      <c r="U14" s="38">
        <f>S7</f>
        <v>0.61142911030413749</v>
      </c>
      <c r="V14" s="38">
        <f>R7</f>
        <v>0.20440451525197414</v>
      </c>
      <c r="W14" s="38">
        <f>Q7</f>
        <v>0.176068307735255</v>
      </c>
      <c r="X14" s="38">
        <f>P7</f>
        <v>0.21925381000467248</v>
      </c>
    </row>
    <row r="15" spans="1:24" x14ac:dyDescent="0.25">
      <c r="A15" s="35">
        <v>11</v>
      </c>
      <c r="B15" s="35">
        <v>1</v>
      </c>
      <c r="C15" s="35">
        <f>Таблица_наблюдений!A16</f>
        <v>12</v>
      </c>
      <c r="D15" s="35">
        <f>Таблица_наблюдений!I16</f>
        <v>0</v>
      </c>
      <c r="E15" s="35">
        <f>Таблица_наблюдений!J16</f>
        <v>0</v>
      </c>
      <c r="F15" s="35">
        <f>Таблица_наблюдений!K16</f>
        <v>1</v>
      </c>
      <c r="G15" s="35">
        <f>Таблица_наблюдений!E16</f>
        <v>4</v>
      </c>
      <c r="H15" s="35">
        <f>Таблица_наблюдений!F16</f>
        <v>1</v>
      </c>
      <c r="I15" s="35">
        <f>Таблица_наблюдений!G16</f>
        <v>3</v>
      </c>
      <c r="J15" s="35">
        <f>Таблица_наблюдений!D16</f>
        <v>5</v>
      </c>
      <c r="K15" s="36">
        <f t="shared" si="0"/>
        <v>6.2191397314155985</v>
      </c>
      <c r="L15" s="36">
        <f t="shared" si="1"/>
        <v>-1.2191397314155985</v>
      </c>
      <c r="M15" s="36">
        <f t="shared" si="2"/>
        <v>1.4863016847160977</v>
      </c>
      <c r="O15" s="6" t="s">
        <v>484</v>
      </c>
      <c r="P15" s="38">
        <f>P13/P14</f>
        <v>1.3592700358468091</v>
      </c>
      <c r="Q15" s="38">
        <f>Q13/Q14</f>
        <v>-0.41783636979798472</v>
      </c>
      <c r="R15" s="38" t="s">
        <v>483</v>
      </c>
      <c r="S15" s="38">
        <f t="shared" ref="S15:X15" si="3">S13/S14</f>
        <v>-0.53859388865875035</v>
      </c>
      <c r="T15" s="38">
        <f t="shared" si="3"/>
        <v>-0.13009249596320768</v>
      </c>
      <c r="U15" s="38">
        <f t="shared" si="3"/>
        <v>1.9752705823778134</v>
      </c>
      <c r="V15" s="38">
        <f t="shared" si="3"/>
        <v>2.7802060938814104</v>
      </c>
      <c r="W15" s="38">
        <f t="shared" si="3"/>
        <v>2.0138766686922529</v>
      </c>
      <c r="X15" s="38">
        <f t="shared" si="3"/>
        <v>2.3558513181711662</v>
      </c>
    </row>
    <row r="16" spans="1:24" x14ac:dyDescent="0.25">
      <c r="A16" s="35">
        <v>12</v>
      </c>
      <c r="B16" s="35">
        <v>1</v>
      </c>
      <c r="C16" s="35">
        <f>Таблица_наблюдений!A17</f>
        <v>13</v>
      </c>
      <c r="D16" s="35">
        <f>Таблица_наблюдений!I17</f>
        <v>0</v>
      </c>
      <c r="E16" s="35">
        <f>Таблица_наблюдений!J17</f>
        <v>0</v>
      </c>
      <c r="F16" s="35">
        <f>Таблица_наблюдений!K17</f>
        <v>0</v>
      </c>
      <c r="G16" s="35">
        <f>Таблица_наблюдений!E17</f>
        <v>4</v>
      </c>
      <c r="H16" s="35">
        <f>Таблица_наблюдений!F17</f>
        <v>2</v>
      </c>
      <c r="I16" s="35">
        <f>Таблица_наблюдений!G17</f>
        <v>2</v>
      </c>
      <c r="J16" s="35">
        <f>Таблица_наблюдений!D17</f>
        <v>4</v>
      </c>
      <c r="K16" s="36">
        <f t="shared" si="0"/>
        <v>4.840773740704531</v>
      </c>
      <c r="L16" s="36">
        <f t="shared" si="1"/>
        <v>-0.84077374070453104</v>
      </c>
      <c r="M16" s="36">
        <f t="shared" si="2"/>
        <v>0.70690048305829001</v>
      </c>
      <c r="O16" s="34" t="s">
        <v>485</v>
      </c>
      <c r="W16" s="39">
        <f>_xlfn.T.INV.2T(0.05,27)</f>
        <v>2.0518305164802859</v>
      </c>
    </row>
    <row r="17" spans="1:16" x14ac:dyDescent="0.25">
      <c r="A17" s="35">
        <v>13</v>
      </c>
      <c r="B17" s="35">
        <v>1</v>
      </c>
      <c r="C17" s="35">
        <f>Таблица_наблюдений!A18</f>
        <v>14</v>
      </c>
      <c r="D17" s="35">
        <f>Таблица_наблюдений!I18</f>
        <v>1</v>
      </c>
      <c r="E17" s="35">
        <f>Таблица_наблюдений!J18</f>
        <v>0</v>
      </c>
      <c r="F17" s="35">
        <f>Таблица_наблюдений!K18</f>
        <v>0</v>
      </c>
      <c r="G17" s="35">
        <f>Таблица_наблюдений!E18</f>
        <v>2</v>
      </c>
      <c r="H17" s="35">
        <f>Таблица_наблюдений!F18</f>
        <v>4</v>
      </c>
      <c r="I17" s="35">
        <f>Таблица_наблюдений!G18</f>
        <v>3</v>
      </c>
      <c r="J17" s="35">
        <f>Таблица_наблюдений!D18</f>
        <v>4</v>
      </c>
      <c r="K17" s="36">
        <f t="shared" si="0"/>
        <v>4.5108383753631678</v>
      </c>
      <c r="L17" s="36">
        <f t="shared" si="1"/>
        <v>-0.51083837536316778</v>
      </c>
      <c r="M17" s="36">
        <f t="shared" si="2"/>
        <v>0.26095584574368069</v>
      </c>
    </row>
    <row r="18" spans="1:16" x14ac:dyDescent="0.25">
      <c r="A18" s="35">
        <v>14</v>
      </c>
      <c r="B18" s="35">
        <v>1</v>
      </c>
      <c r="C18" s="35">
        <f>Таблица_наблюдений!A19</f>
        <v>15</v>
      </c>
      <c r="D18" s="35">
        <f>Таблица_наблюдений!I19</f>
        <v>0</v>
      </c>
      <c r="E18" s="35">
        <f>Таблица_наблюдений!J19</f>
        <v>1</v>
      </c>
      <c r="F18" s="35">
        <f>Таблица_наблюдений!K19</f>
        <v>0</v>
      </c>
      <c r="G18" s="35">
        <f>Таблица_наблюдений!E19</f>
        <v>2</v>
      </c>
      <c r="H18" s="35">
        <f>Таблица_наблюдений!F19</f>
        <v>4</v>
      </c>
      <c r="I18" s="35">
        <f>Таблица_наблюдений!G19</f>
        <v>4</v>
      </c>
      <c r="J18" s="35">
        <f>Таблица_наблюдений!D19</f>
        <v>6</v>
      </c>
      <c r="K18" s="36">
        <f t="shared" si="0"/>
        <v>5.3434265897940687</v>
      </c>
      <c r="L18" s="36">
        <f t="shared" si="1"/>
        <v>0.6565734102059313</v>
      </c>
      <c r="M18" s="36">
        <f t="shared" si="2"/>
        <v>0.4310886429894461</v>
      </c>
      <c r="O18" s="3" t="s">
        <v>486</v>
      </c>
    </row>
    <row r="19" spans="1:16" x14ac:dyDescent="0.25">
      <c r="A19" s="35">
        <v>15</v>
      </c>
      <c r="B19" s="35">
        <v>1</v>
      </c>
      <c r="C19" s="35">
        <f>Таблица_наблюдений!A20</f>
        <v>16</v>
      </c>
      <c r="D19" s="35">
        <f>Таблица_наблюдений!I20</f>
        <v>0</v>
      </c>
      <c r="E19" s="35">
        <f>Таблица_наблюдений!J20</f>
        <v>0</v>
      </c>
      <c r="F19" s="35">
        <f>Таблица_наблюдений!K20</f>
        <v>1</v>
      </c>
      <c r="G19" s="35">
        <f>Таблица_наблюдений!E20</f>
        <v>5</v>
      </c>
      <c r="H19" s="35">
        <f>Таблица_наблюдений!F20</f>
        <v>5</v>
      </c>
      <c r="I19" s="35">
        <f>Таблица_наблюдений!G20</f>
        <v>2</v>
      </c>
      <c r="J19" s="35">
        <f>Таблица_наблюдений!D20</f>
        <v>7</v>
      </c>
      <c r="K19" s="36">
        <f t="shared" si="0"/>
        <v>7.654502318605223</v>
      </c>
      <c r="L19" s="36">
        <f t="shared" si="1"/>
        <v>-0.65450231860522301</v>
      </c>
      <c r="M19" s="36">
        <f t="shared" si="2"/>
        <v>0.42837328505961286</v>
      </c>
      <c r="O19" s="3" t="s">
        <v>475</v>
      </c>
      <c r="P19" s="41">
        <f t="array" ref="P19:P26">MMULT(MINVERSE(MMULT(TRANSPOSE(B5:I39),B5:I39)),MMULT(TRANSPOSE(B5:I39),J5:J39))</f>
        <v>0.93822951973750557</v>
      </c>
    </row>
    <row r="20" spans="1:16" x14ac:dyDescent="0.25">
      <c r="A20" s="35">
        <v>16</v>
      </c>
      <c r="B20" s="35">
        <v>1</v>
      </c>
      <c r="C20" s="35">
        <f>Таблица_наблюдений!A21</f>
        <v>17</v>
      </c>
      <c r="D20" s="35">
        <f>Таблица_наблюдений!I21</f>
        <v>0</v>
      </c>
      <c r="E20" s="35">
        <f>Таблица_наблюдений!J21</f>
        <v>0</v>
      </c>
      <c r="F20" s="35">
        <f>Таблица_наблюдений!K21</f>
        <v>0</v>
      </c>
      <c r="G20" s="35">
        <f>Таблица_наблюдений!E21</f>
        <v>4</v>
      </c>
      <c r="H20" s="35">
        <f>Таблица_наблюдений!F21</f>
        <v>4</v>
      </c>
      <c r="I20" s="35">
        <f>Таблица_наблюдений!G21</f>
        <v>4</v>
      </c>
      <c r="J20" s="35">
        <f>Таблица_наблюдений!D21</f>
        <v>5</v>
      </c>
      <c r="K20" s="36">
        <f t="shared" si="0"/>
        <v>6.5482780668261</v>
      </c>
      <c r="L20" s="36">
        <f t="shared" si="1"/>
        <v>-1.5482780668261</v>
      </c>
      <c r="M20" s="36">
        <f t="shared" si="2"/>
        <v>2.3971649722147657</v>
      </c>
      <c r="O20" s="3" t="s">
        <v>474</v>
      </c>
      <c r="P20" s="41">
        <v>-8.6785356484656989E-3</v>
      </c>
    </row>
    <row r="21" spans="1:16" x14ac:dyDescent="0.25">
      <c r="A21" s="35">
        <v>17</v>
      </c>
      <c r="B21" s="35">
        <v>1</v>
      </c>
      <c r="C21" s="35">
        <f>Таблица_наблюдений!A22</f>
        <v>18</v>
      </c>
      <c r="D21" s="35">
        <f>Таблица_наблюдений!I22</f>
        <v>1</v>
      </c>
      <c r="E21" s="35">
        <f>Таблица_наблюдений!J22</f>
        <v>0</v>
      </c>
      <c r="F21" s="35">
        <f>Таблица_наблюдений!K22</f>
        <v>0</v>
      </c>
      <c r="G21" s="35">
        <f>Таблица_наблюдений!E22</f>
        <v>2</v>
      </c>
      <c r="H21" s="35">
        <f>Таблица_наблюдений!F22</f>
        <v>2</v>
      </c>
      <c r="I21" s="35">
        <f>Таблица_наблюдений!G22</f>
        <v>3</v>
      </c>
      <c r="J21" s="35">
        <f>Таблица_наблюдений!D22</f>
        <v>3</v>
      </c>
      <c r="K21" s="36">
        <f t="shared" si="0"/>
        <v>3.7669645186809895</v>
      </c>
      <c r="L21" s="36">
        <f t="shared" si="1"/>
        <v>-0.76696451868098947</v>
      </c>
      <c r="M21" s="36">
        <f t="shared" si="2"/>
        <v>0.5882345729155618</v>
      </c>
      <c r="O21" s="3" t="s">
        <v>451</v>
      </c>
      <c r="P21" s="41">
        <v>-0.4103725632539863</v>
      </c>
    </row>
    <row r="22" spans="1:16" x14ac:dyDescent="0.25">
      <c r="A22" s="35">
        <v>18</v>
      </c>
      <c r="B22" s="35">
        <v>1</v>
      </c>
      <c r="C22" s="35">
        <f>Таблица_наблюдений!A23</f>
        <v>19</v>
      </c>
      <c r="D22" s="35">
        <f>Таблица_наблюдений!I23</f>
        <v>0</v>
      </c>
      <c r="E22" s="35">
        <f>Таблица_наблюдений!J23</f>
        <v>1</v>
      </c>
      <c r="F22" s="35">
        <f>Таблица_наблюдений!K23</f>
        <v>0</v>
      </c>
      <c r="G22" s="35">
        <f>Таблица_наблюдений!E23</f>
        <v>2</v>
      </c>
      <c r="H22" s="35">
        <f>Таблица_наблюдений!F23</f>
        <v>3</v>
      </c>
      <c r="I22" s="35">
        <f>Таблица_наблюдений!G23</f>
        <v>2</v>
      </c>
      <c r="J22" s="35">
        <f>Таблица_наблюдений!D23</f>
        <v>4</v>
      </c>
      <c r="K22" s="36">
        <f t="shared" si="0"/>
        <v>3.9210738355289312</v>
      </c>
      <c r="L22" s="36">
        <f t="shared" si="1"/>
        <v>7.8926164471068816E-2</v>
      </c>
      <c r="M22" s="36">
        <f t="shared" si="2"/>
        <v>6.229339438114205E-3</v>
      </c>
      <c r="O22" s="3" t="s">
        <v>452</v>
      </c>
      <c r="P22" s="41">
        <v>-8.5635190488142499E-2</v>
      </c>
    </row>
    <row r="23" spans="1:16" x14ac:dyDescent="0.25">
      <c r="A23" s="35">
        <v>19</v>
      </c>
      <c r="B23" s="35">
        <v>1</v>
      </c>
      <c r="C23" s="35">
        <f>Таблица_наблюдений!A24</f>
        <v>20</v>
      </c>
      <c r="D23" s="35">
        <f>Таблица_наблюдений!I24</f>
        <v>0</v>
      </c>
      <c r="E23" s="35">
        <f>Таблица_наблюдений!J24</f>
        <v>0</v>
      </c>
      <c r="F23" s="35">
        <f>Таблица_наблюдений!K24</f>
        <v>1</v>
      </c>
      <c r="G23" s="35">
        <f>Таблица_наблюдений!E24</f>
        <v>3</v>
      </c>
      <c r="H23" s="35">
        <f>Таблица_наблюдений!F24</f>
        <v>3</v>
      </c>
      <c r="I23" s="35">
        <f>Таблица_наблюдений!G24</f>
        <v>1</v>
      </c>
      <c r="J23" s="35">
        <f>Таблица_наблюдений!D24</f>
        <v>6</v>
      </c>
      <c r="K23" s="36">
        <f t="shared" si="0"/>
        <v>5.2575257267686588</v>
      </c>
      <c r="L23" s="36">
        <f t="shared" si="1"/>
        <v>0.74247427323134119</v>
      </c>
      <c r="M23" s="36">
        <f t="shared" si="2"/>
        <v>0.55126804641040827</v>
      </c>
      <c r="O23" s="3" t="s">
        <v>453</v>
      </c>
      <c r="P23" s="41">
        <v>1.2077379347931965</v>
      </c>
    </row>
    <row r="24" spans="1:16" x14ac:dyDescent="0.25">
      <c r="A24" s="35">
        <v>20</v>
      </c>
      <c r="B24" s="35">
        <v>1</v>
      </c>
      <c r="C24" s="35">
        <f>Таблица_наблюдений!A25</f>
        <v>21</v>
      </c>
      <c r="D24" s="35">
        <f>Таблица_наблюдений!I25</f>
        <v>0</v>
      </c>
      <c r="E24" s="35">
        <f>Таблица_наблюдений!J25</f>
        <v>0</v>
      </c>
      <c r="F24" s="35">
        <f>Таблица_наблюдений!K25</f>
        <v>0</v>
      </c>
      <c r="G24" s="35">
        <f>Таблица_наблюдений!E25</f>
        <v>4</v>
      </c>
      <c r="H24" s="35">
        <f>Таблица_наблюдений!F25</f>
        <v>4</v>
      </c>
      <c r="I24" s="35">
        <f>Таблица_наблюдений!G25</f>
        <v>3</v>
      </c>
      <c r="J24" s="35">
        <f>Таблица_наблюдений!D25</f>
        <v>6</v>
      </c>
      <c r="K24" s="36">
        <f t="shared" si="0"/>
        <v>5.9970345469186794</v>
      </c>
      <c r="L24" s="36">
        <f t="shared" si="1"/>
        <v>2.9654530813205682E-3</v>
      </c>
      <c r="M24" s="36">
        <f t="shared" si="2"/>
        <v>8.7939119775136521E-6</v>
      </c>
      <c r="O24" s="3" t="s">
        <v>447</v>
      </c>
      <c r="P24" s="41">
        <v>0.56828667892040929</v>
      </c>
    </row>
    <row r="25" spans="1:16" x14ac:dyDescent="0.25">
      <c r="A25" s="35">
        <v>21</v>
      </c>
      <c r="B25" s="35">
        <v>1</v>
      </c>
      <c r="C25" s="35">
        <f>Таблица_наблюдений!A26</f>
        <v>22</v>
      </c>
      <c r="D25" s="35">
        <f>Таблица_наблюдений!I26</f>
        <v>1</v>
      </c>
      <c r="E25" s="35">
        <f>Таблица_наблюдений!J26</f>
        <v>0</v>
      </c>
      <c r="F25" s="35">
        <f>Таблица_наблюдений!K26</f>
        <v>0</v>
      </c>
      <c r="G25" s="35">
        <f>Таблица_наблюдений!E26</f>
        <v>3</v>
      </c>
      <c r="H25" s="35">
        <f>Таблица_наблюдений!F26</f>
        <v>6</v>
      </c>
      <c r="I25" s="35">
        <f>Таблица_наблюдений!G26</f>
        <v>6</v>
      </c>
      <c r="J25" s="35">
        <f>Таблица_наблюдений!D26</f>
        <v>7</v>
      </c>
      <c r="K25" s="36">
        <f t="shared" si="0"/>
        <v>7.2684446151248459</v>
      </c>
      <c r="L25" s="36">
        <f t="shared" si="1"/>
        <v>-0.26844461512484585</v>
      </c>
      <c r="M25" s="36">
        <f t="shared" si="2"/>
        <v>7.2062511389526615E-2</v>
      </c>
      <c r="O25" s="3" t="s">
        <v>448</v>
      </c>
      <c r="P25" s="41">
        <v>0.35457985704415584</v>
      </c>
    </row>
    <row r="26" spans="1:16" x14ac:dyDescent="0.25">
      <c r="A26" s="35">
        <v>22</v>
      </c>
      <c r="B26" s="35">
        <v>1</v>
      </c>
      <c r="C26" s="35">
        <f>Таблица_наблюдений!A27</f>
        <v>23</v>
      </c>
      <c r="D26" s="35">
        <f>Таблица_наблюдений!I27</f>
        <v>0</v>
      </c>
      <c r="E26" s="35">
        <f>Таблица_наблюдений!J27</f>
        <v>1</v>
      </c>
      <c r="F26" s="35">
        <f>Таблица_наблюдений!K27</f>
        <v>0</v>
      </c>
      <c r="G26" s="35">
        <f>Таблица_наблюдений!E27</f>
        <v>3</v>
      </c>
      <c r="H26" s="35">
        <f>Таблица_наблюдений!F27</f>
        <v>6</v>
      </c>
      <c r="I26" s="35">
        <f>Таблица_наблюдений!G27</f>
        <v>5</v>
      </c>
      <c r="J26" s="35">
        <f>Таблица_наблюдений!D27</f>
        <v>7</v>
      </c>
      <c r="K26" s="36">
        <f t="shared" si="0"/>
        <v>7.0679740749286308</v>
      </c>
      <c r="L26" s="36">
        <f t="shared" si="1"/>
        <v>-6.7974074928630834E-2</v>
      </c>
      <c r="M26" s="36">
        <f t="shared" si="2"/>
        <v>4.6204748624031188E-3</v>
      </c>
      <c r="O26" s="3" t="s">
        <v>449</v>
      </c>
      <c r="P26" s="41">
        <v>0.5165293773135673</v>
      </c>
    </row>
    <row r="27" spans="1:16" x14ac:dyDescent="0.25">
      <c r="A27" s="35">
        <v>23</v>
      </c>
      <c r="B27" s="35">
        <v>1</v>
      </c>
      <c r="C27" s="35">
        <f>Таблица_наблюдений!A28</f>
        <v>24</v>
      </c>
      <c r="D27" s="35">
        <f>Таблица_наблюдений!I28</f>
        <v>0</v>
      </c>
      <c r="E27" s="35">
        <f>Таблица_наблюдений!J28</f>
        <v>0</v>
      </c>
      <c r="F27" s="35">
        <f>Таблица_наблюдений!K28</f>
        <v>1</v>
      </c>
      <c r="G27" s="35">
        <f>Таблица_наблюдений!E28</f>
        <v>3</v>
      </c>
      <c r="H27" s="35">
        <f>Таблица_наблюдений!F28</f>
        <v>3</v>
      </c>
      <c r="I27" s="35">
        <f>Таблица_наблюдений!G28</f>
        <v>2</v>
      </c>
      <c r="J27" s="35">
        <f>Таблица_наблюдений!D28</f>
        <v>3</v>
      </c>
      <c r="K27" s="36">
        <f t="shared" si="0"/>
        <v>5.7393409614883542</v>
      </c>
      <c r="L27" s="36">
        <f t="shared" si="1"/>
        <v>-2.7393409614883542</v>
      </c>
      <c r="M27" s="36">
        <f t="shared" si="2"/>
        <v>7.503988903287941</v>
      </c>
    </row>
    <row r="28" spans="1:16" x14ac:dyDescent="0.25">
      <c r="A28" s="35">
        <v>24</v>
      </c>
      <c r="B28" s="35">
        <v>1</v>
      </c>
      <c r="C28" s="35">
        <f>Таблица_наблюдений!A29</f>
        <v>25</v>
      </c>
      <c r="D28" s="35">
        <f>Таблица_наблюдений!I29</f>
        <v>0</v>
      </c>
      <c r="E28" s="35">
        <f>Таблица_наблюдений!J29</f>
        <v>0</v>
      </c>
      <c r="F28" s="35">
        <f>Таблица_наблюдений!K29</f>
        <v>0</v>
      </c>
      <c r="G28" s="35">
        <f>Таблица_наблюдений!E29</f>
        <v>1</v>
      </c>
      <c r="H28" s="35">
        <f>Таблица_наблюдений!F29</f>
        <v>1</v>
      </c>
      <c r="I28" s="35">
        <f>Таблица_наблюдений!G29</f>
        <v>0</v>
      </c>
      <c r="J28" s="35">
        <f>Таблица_наблюдений!D29</f>
        <v>1</v>
      </c>
      <c r="K28" s="36">
        <f t="shared" si="0"/>
        <v>1.6441326644904268</v>
      </c>
      <c r="L28" s="36">
        <f t="shared" si="1"/>
        <v>-0.64413266449042683</v>
      </c>
      <c r="M28" s="36">
        <f t="shared" si="2"/>
        <v>0.41490688946353677</v>
      </c>
      <c r="O28" s="3" t="s">
        <v>487</v>
      </c>
    </row>
    <row r="29" spans="1:16" x14ac:dyDescent="0.25">
      <c r="A29" s="35">
        <v>25</v>
      </c>
      <c r="B29" s="35">
        <v>1</v>
      </c>
      <c r="C29" s="35">
        <f>Таблица_наблюдений!A30</f>
        <v>26</v>
      </c>
      <c r="D29" s="35">
        <f>Таблица_наблюдений!I30</f>
        <v>1</v>
      </c>
      <c r="E29" s="35">
        <f>Таблица_наблюдений!J30</f>
        <v>0</v>
      </c>
      <c r="F29" s="35">
        <f>Таблица_наблюдений!K30</f>
        <v>0</v>
      </c>
      <c r="G29" s="35">
        <f>Таблица_наблюдений!E30</f>
        <v>0</v>
      </c>
      <c r="H29" s="35">
        <f>Таблица_наблюдений!F30</f>
        <v>1</v>
      </c>
      <c r="I29" s="35">
        <f>Таблица_наблюдений!G30</f>
        <v>1</v>
      </c>
      <c r="J29" s="35">
        <f>Таблица_наблюдений!D30</f>
        <v>1</v>
      </c>
      <c r="K29" s="36">
        <f t="shared" si="0"/>
        <v>1.1733242639811619</v>
      </c>
      <c r="L29" s="36">
        <f t="shared" si="1"/>
        <v>-0.17332426398116185</v>
      </c>
      <c r="M29" s="36">
        <f t="shared" si="2"/>
        <v>3.0041300484611479E-2</v>
      </c>
      <c r="O29" s="35" t="s">
        <v>488</v>
      </c>
      <c r="P29" s="38">
        <f>COUNT(J5:J39)</f>
        <v>35</v>
      </c>
    </row>
    <row r="30" spans="1:16" x14ac:dyDescent="0.25">
      <c r="A30" s="35">
        <v>26</v>
      </c>
      <c r="B30" s="35">
        <v>1</v>
      </c>
      <c r="C30" s="35">
        <f>Таблица_наблюдений!A31</f>
        <v>27</v>
      </c>
      <c r="D30" s="35">
        <f>Таблица_наблюдений!I31</f>
        <v>0</v>
      </c>
      <c r="E30" s="35">
        <f>Таблица_наблюдений!J31</f>
        <v>1</v>
      </c>
      <c r="F30" s="35">
        <f>Таблица_наблюдений!K31</f>
        <v>0</v>
      </c>
      <c r="G30" s="35">
        <f>Таблица_наблюдений!E31</f>
        <v>3</v>
      </c>
      <c r="H30" s="35">
        <f>Таблица_наблюдений!F31</f>
        <v>1</v>
      </c>
      <c r="I30" s="35">
        <f>Таблица_наблюдений!G31</f>
        <v>3</v>
      </c>
      <c r="J30" s="35">
        <f>Таблица_наблюдений!D31</f>
        <v>4</v>
      </c>
      <c r="K30" s="36">
        <f t="shared" si="0"/>
        <v>4.2273018924868637</v>
      </c>
      <c r="L30" s="36">
        <f t="shared" si="1"/>
        <v>-0.22730189248686372</v>
      </c>
      <c r="M30" s="36">
        <f t="shared" si="2"/>
        <v>5.1666150328109756E-2</v>
      </c>
      <c r="O30" s="35" t="s">
        <v>489</v>
      </c>
      <c r="P30" s="38">
        <v>8</v>
      </c>
    </row>
    <row r="31" spans="1:16" x14ac:dyDescent="0.25">
      <c r="A31" s="35">
        <v>27</v>
      </c>
      <c r="B31" s="35">
        <v>1</v>
      </c>
      <c r="C31" s="35">
        <f>Таблица_наблюдений!A32</f>
        <v>28</v>
      </c>
      <c r="D31" s="35">
        <f>Таблица_наблюдений!I32</f>
        <v>0</v>
      </c>
      <c r="E31" s="35">
        <f>Таблица_наблюдений!J32</f>
        <v>0</v>
      </c>
      <c r="F31" s="35">
        <f>Таблица_наблюдений!K32</f>
        <v>1</v>
      </c>
      <c r="G31" s="35">
        <f>Таблица_наблюдений!E32</f>
        <v>1</v>
      </c>
      <c r="H31" s="35">
        <f>Таблица_наблюдений!F32</f>
        <v>0</v>
      </c>
      <c r="I31" s="35">
        <f>Таблица_наблюдений!G32</f>
        <v>1</v>
      </c>
      <c r="J31" s="35">
        <f>Таблица_наблюдений!D32</f>
        <v>2</v>
      </c>
      <c r="K31" s="36">
        <f t="shared" si="0"/>
        <v>2.9877845126076319</v>
      </c>
      <c r="L31" s="36">
        <f t="shared" si="1"/>
        <v>-0.98778451260763189</v>
      </c>
      <c r="M31" s="36">
        <f t="shared" si="2"/>
        <v>0.97571824334749691</v>
      </c>
      <c r="O31" s="35" t="s">
        <v>490</v>
      </c>
      <c r="P31" s="38">
        <f>M40</f>
        <v>40.223024396215237</v>
      </c>
    </row>
    <row r="32" spans="1:16" x14ac:dyDescent="0.25">
      <c r="A32" s="35">
        <v>28</v>
      </c>
      <c r="B32" s="35">
        <v>1</v>
      </c>
      <c r="C32" s="35">
        <f>Таблица_наблюдений!A33</f>
        <v>29</v>
      </c>
      <c r="D32" s="35">
        <f>Таблица_наблюдений!I33</f>
        <v>0</v>
      </c>
      <c r="E32" s="35">
        <f>Таблица_наблюдений!J33</f>
        <v>0</v>
      </c>
      <c r="F32" s="35">
        <f>Таблица_наблюдений!K33</f>
        <v>0</v>
      </c>
      <c r="G32" s="35">
        <f>Таблица_наблюдений!E33</f>
        <v>2</v>
      </c>
      <c r="H32" s="35">
        <f>Таблица_наблюдений!F33</f>
        <v>1</v>
      </c>
      <c r="I32" s="35">
        <f>Таблица_наблюдений!G33</f>
        <v>2</v>
      </c>
      <c r="J32" s="35">
        <f>Таблица_наблюдений!D33</f>
        <v>4</v>
      </c>
      <c r="K32" s="36">
        <f t="shared" si="0"/>
        <v>3.2107639554440945</v>
      </c>
      <c r="L32" s="36">
        <f t="shared" si="1"/>
        <v>0.78923604455590546</v>
      </c>
      <c r="M32" s="36">
        <f t="shared" si="2"/>
        <v>0.62289353402625114</v>
      </c>
      <c r="O32" s="35" t="s">
        <v>491</v>
      </c>
      <c r="P32" s="38">
        <f>DEVSQ(J5:J39)</f>
        <v>152.28571428571428</v>
      </c>
    </row>
    <row r="33" spans="1:16" x14ac:dyDescent="0.25">
      <c r="A33" s="35">
        <v>29</v>
      </c>
      <c r="B33" s="35">
        <v>1</v>
      </c>
      <c r="C33" s="35">
        <f>Таблица_наблюдений!A34</f>
        <v>30</v>
      </c>
      <c r="D33" s="35">
        <f>Таблица_наблюдений!I34</f>
        <v>1</v>
      </c>
      <c r="E33" s="35">
        <f>Таблица_наблюдений!J34</f>
        <v>0</v>
      </c>
      <c r="F33" s="35">
        <f>Таблица_наблюдений!K34</f>
        <v>0</v>
      </c>
      <c r="G33" s="35">
        <f>Таблица_наблюдений!E34</f>
        <v>1</v>
      </c>
      <c r="H33" s="35">
        <f>Таблица_наблюдений!F34</f>
        <v>4</v>
      </c>
      <c r="I33" s="35">
        <f>Таблица_наблюдений!G34</f>
        <v>3</v>
      </c>
      <c r="J33" s="35">
        <f>Таблица_наблюдений!D34</f>
        <v>4</v>
      </c>
      <c r="K33" s="36">
        <f t="shared" si="0"/>
        <v>3.8036951260673031</v>
      </c>
      <c r="L33" s="36">
        <f t="shared" si="1"/>
        <v>0.19630487393269691</v>
      </c>
      <c r="M33" s="36">
        <f t="shared" si="2"/>
        <v>3.8535603529732024E-2</v>
      </c>
      <c r="O33" s="35" t="s">
        <v>492</v>
      </c>
      <c r="P33" s="38">
        <f>1-P31/P32</f>
        <v>0.73587132197607252</v>
      </c>
    </row>
    <row r="34" spans="1:16" x14ac:dyDescent="0.25">
      <c r="A34" s="35">
        <v>30</v>
      </c>
      <c r="B34" s="35">
        <v>1</v>
      </c>
      <c r="C34" s="35">
        <f>Таблица_наблюдений!A35</f>
        <v>31</v>
      </c>
      <c r="D34" s="35">
        <f>Таблица_наблюдений!I35</f>
        <v>0</v>
      </c>
      <c r="E34" s="35">
        <f>Таблица_наблюдений!J35</f>
        <v>1</v>
      </c>
      <c r="F34" s="35">
        <f>Таблица_наблюдений!K35</f>
        <v>0</v>
      </c>
      <c r="G34" s="35">
        <f>Таблица_наблюдений!E35</f>
        <v>6</v>
      </c>
      <c r="H34" s="35">
        <f>Таблица_наблюдений!F35</f>
        <v>4</v>
      </c>
      <c r="I34" s="35">
        <f>Таблица_наблюдений!G35</f>
        <v>4</v>
      </c>
      <c r="J34" s="35">
        <f>Таблица_наблюдений!D35</f>
        <v>9</v>
      </c>
      <c r="K34" s="36">
        <f t="shared" si="0"/>
        <v>7.4777167351002749</v>
      </c>
      <c r="L34" s="36">
        <f t="shared" si="1"/>
        <v>1.5222832648997251</v>
      </c>
      <c r="M34" s="36">
        <f t="shared" si="2"/>
        <v>2.3173463385937665</v>
      </c>
      <c r="O34" s="35" t="s">
        <v>493</v>
      </c>
      <c r="P34" s="38">
        <f>SQRT(P33)</f>
        <v>0.85782942475533708</v>
      </c>
    </row>
    <row r="35" spans="1:16" x14ac:dyDescent="0.25">
      <c r="A35" s="35">
        <v>31</v>
      </c>
      <c r="B35" s="35">
        <v>1</v>
      </c>
      <c r="C35" s="35">
        <f>Таблица_наблюдений!A36</f>
        <v>32</v>
      </c>
      <c r="D35" s="35">
        <f>Таблица_наблюдений!I36</f>
        <v>0</v>
      </c>
      <c r="E35" s="35">
        <f>Таблица_наблюдений!J36</f>
        <v>0</v>
      </c>
      <c r="F35" s="35">
        <f>Таблица_наблюдений!K36</f>
        <v>1</v>
      </c>
      <c r="G35" s="35">
        <f>Таблица_наблюдений!E36</f>
        <v>1</v>
      </c>
      <c r="H35" s="35">
        <f>Таблица_наблюдений!F36</f>
        <v>1</v>
      </c>
      <c r="I35" s="35">
        <f>Таблица_наблюдений!G36</f>
        <v>1</v>
      </c>
      <c r="J35" s="35">
        <f>Таблица_наблюдений!D36</f>
        <v>4</v>
      </c>
      <c r="K35" s="36">
        <f t="shared" si="0"/>
        <v>3.3076502270579273</v>
      </c>
      <c r="L35" s="36">
        <f t="shared" si="1"/>
        <v>0.69234977294207267</v>
      </c>
      <c r="M35" s="36">
        <f t="shared" si="2"/>
        <v>0.4793482080929396</v>
      </c>
      <c r="O35" s="35" t="s">
        <v>494</v>
      </c>
      <c r="P35" s="38">
        <f>(P32-P31)/(P30-1)/(P31/(P29-P30))</f>
        <v>10.746128873893626</v>
      </c>
    </row>
    <row r="36" spans="1:16" x14ac:dyDescent="0.25">
      <c r="A36" s="35">
        <v>32</v>
      </c>
      <c r="B36" s="35">
        <v>1</v>
      </c>
      <c r="C36" s="35">
        <f>Таблица_наблюдений!A37</f>
        <v>33</v>
      </c>
      <c r="D36" s="35">
        <f>Таблица_наблюдений!I37</f>
        <v>0</v>
      </c>
      <c r="E36" s="35">
        <f>Таблица_наблюдений!J37</f>
        <v>0</v>
      </c>
      <c r="F36" s="35">
        <f>Таблица_наблюдений!K37</f>
        <v>0</v>
      </c>
      <c r="G36" s="35">
        <f>Таблица_наблюдений!E37</f>
        <v>1</v>
      </c>
      <c r="H36" s="35">
        <f>Таблица_наблюдений!F37</f>
        <v>1</v>
      </c>
      <c r="I36" s="35">
        <f>Таблица_наблюдений!G37</f>
        <v>2</v>
      </c>
      <c r="J36" s="35">
        <f>Таблица_наблюдений!D37</f>
        <v>4</v>
      </c>
      <c r="K36" s="36">
        <f t="shared" si="0"/>
        <v>2.6077631339298177</v>
      </c>
      <c r="L36" s="36">
        <f t="shared" si="1"/>
        <v>1.3922368660701823</v>
      </c>
      <c r="M36" s="36">
        <f t="shared" si="2"/>
        <v>1.9383234912449225</v>
      </c>
      <c r="O36" s="35" t="s">
        <v>495</v>
      </c>
      <c r="P36" s="38">
        <f>_xlfn.F.DIST.RT(P35,P30-1,P29-P30)</f>
        <v>2.1088990904252518E-6</v>
      </c>
    </row>
    <row r="37" spans="1:16" x14ac:dyDescent="0.25">
      <c r="A37" s="35">
        <v>33</v>
      </c>
      <c r="B37" s="35">
        <v>1</v>
      </c>
      <c r="C37" s="35">
        <f>Таблица_наблюдений!A38</f>
        <v>34</v>
      </c>
      <c r="D37" s="35">
        <f>Таблица_наблюдений!I38</f>
        <v>1</v>
      </c>
      <c r="E37" s="35">
        <f>Таблица_наблюдений!J38</f>
        <v>0</v>
      </c>
      <c r="F37" s="35">
        <f>Таблица_наблюдений!K38</f>
        <v>0</v>
      </c>
      <c r="G37" s="35">
        <f>Таблица_наблюдений!E38</f>
        <v>3</v>
      </c>
      <c r="H37" s="35">
        <f>Таблица_наблюдений!F38</f>
        <v>2</v>
      </c>
      <c r="I37" s="35">
        <f>Таблица_наблюдений!G38</f>
        <v>5</v>
      </c>
      <c r="J37" s="35">
        <f>Таблица_наблюдений!D38</f>
        <v>6</v>
      </c>
      <c r="K37" s="36">
        <f t="shared" si="0"/>
        <v>5.2294533818530695</v>
      </c>
      <c r="L37" s="36">
        <f t="shared" si="1"/>
        <v>0.77054661814693048</v>
      </c>
      <c r="M37" s="36">
        <f t="shared" si="2"/>
        <v>0.59374209073767148</v>
      </c>
      <c r="O37" s="35" t="s">
        <v>496</v>
      </c>
      <c r="P37" s="38">
        <f>SQRT(P31/(P29-P30))</f>
        <v>1.2205497303691759</v>
      </c>
    </row>
    <row r="38" spans="1:16" x14ac:dyDescent="0.25">
      <c r="A38" s="35">
        <v>34</v>
      </c>
      <c r="B38" s="35">
        <v>1</v>
      </c>
      <c r="C38" s="35">
        <f>Таблица_наблюдений!A39</f>
        <v>35</v>
      </c>
      <c r="D38" s="35">
        <f>Таблица_наблюдений!I39</f>
        <v>0</v>
      </c>
      <c r="E38" s="35">
        <f>Таблица_наблюдений!J39</f>
        <v>1</v>
      </c>
      <c r="F38" s="35">
        <f>Таблица_наблюдений!K39</f>
        <v>0</v>
      </c>
      <c r="G38" s="35">
        <f>Таблица_наблюдений!E39</f>
        <v>3</v>
      </c>
      <c r="H38" s="35">
        <f>Таблица_наблюдений!F39</f>
        <v>5</v>
      </c>
      <c r="I38" s="35">
        <f>Таблица_наблюдений!G39</f>
        <v>5</v>
      </c>
      <c r="J38" s="35">
        <f>Таблица_наблюдений!D39</f>
        <v>5</v>
      </c>
      <c r="K38" s="36">
        <f t="shared" si="0"/>
        <v>6.6092517901028858</v>
      </c>
      <c r="L38" s="36">
        <f t="shared" si="1"/>
        <v>-1.6092517901028858</v>
      </c>
      <c r="M38" s="36">
        <f t="shared" si="2"/>
        <v>2.5896913239493422</v>
      </c>
      <c r="O38" s="35" t="s">
        <v>497</v>
      </c>
      <c r="P38" s="38">
        <f>P31/P29</f>
        <v>1.1492292684632925</v>
      </c>
    </row>
    <row r="39" spans="1:16" x14ac:dyDescent="0.25">
      <c r="A39" s="35">
        <v>35</v>
      </c>
      <c r="B39" s="35">
        <v>1</v>
      </c>
      <c r="C39" s="35">
        <f>Таблица_наблюдений!A40</f>
        <v>36</v>
      </c>
      <c r="D39" s="35">
        <f>Таблица_наблюдений!I40</f>
        <v>0</v>
      </c>
      <c r="E39" s="35">
        <f>Таблица_наблюдений!J40</f>
        <v>0</v>
      </c>
      <c r="F39" s="35">
        <f>Таблица_наблюдений!K40</f>
        <v>1</v>
      </c>
      <c r="G39" s="35">
        <f>Таблица_наблюдений!E40</f>
        <v>3</v>
      </c>
      <c r="H39" s="35">
        <f>Таблица_наблюдений!F40</f>
        <v>1</v>
      </c>
      <c r="I39" s="35">
        <f>Таблица_наблюдений!G40</f>
        <v>2</v>
      </c>
      <c r="J39" s="35">
        <f>Таблица_наблюдений!D40</f>
        <v>6</v>
      </c>
      <c r="K39" s="36">
        <f t="shared" si="0"/>
        <v>4.9260388196184515</v>
      </c>
      <c r="L39" s="36">
        <f t="shared" si="1"/>
        <v>1.0739611803815485</v>
      </c>
      <c r="M39" s="36">
        <f t="shared" si="2"/>
        <v>1.1533926169665289</v>
      </c>
    </row>
    <row r="40" spans="1:16" x14ac:dyDescent="0.25">
      <c r="I40" s="3" t="s">
        <v>466</v>
      </c>
      <c r="J40" s="15">
        <f>SUM(J5:J39)</f>
        <v>170</v>
      </c>
      <c r="K40" s="15">
        <f>SUM(K5:K39)</f>
        <v>169.99999999999994</v>
      </c>
      <c r="L40" s="15">
        <f>SUM(L5:L39)</f>
        <v>3.2862601528904634E-14</v>
      </c>
      <c r="M40" s="15">
        <f>SUM(M5:M39)</f>
        <v>40.223024396215237</v>
      </c>
    </row>
  </sheetData>
  <pageMargins left="0.75" right="0.75" top="1" bottom="1" header="0.5" footer="0.5"/>
  <pageSetup paperSize="9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8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5" customWidth="1"/>
    <col min="2" max="2" width="4" customWidth="1"/>
    <col min="3" max="9" width="6" customWidth="1"/>
    <col min="10" max="11" width="8" customWidth="1"/>
    <col min="12" max="12" width="9" customWidth="1"/>
    <col min="13" max="13" width="8" customWidth="1"/>
    <col min="14" max="14" width="3" customWidth="1"/>
    <col min="15" max="15" width="30" customWidth="1"/>
    <col min="16" max="24" width="10" customWidth="1"/>
  </cols>
  <sheetData>
    <row r="1" spans="1:24" ht="18.75" x14ac:dyDescent="0.3">
      <c r="A1" s="1" t="s">
        <v>498</v>
      </c>
    </row>
    <row r="2" spans="1:24" x14ac:dyDescent="0.25">
      <c r="A2" s="2" t="s">
        <v>499</v>
      </c>
    </row>
    <row r="4" spans="1:24" x14ac:dyDescent="0.25">
      <c r="A4" s="4" t="s">
        <v>68</v>
      </c>
      <c r="B4" s="4" t="s">
        <v>469</v>
      </c>
      <c r="C4" s="4" t="s">
        <v>444</v>
      </c>
      <c r="D4" s="4" t="s">
        <v>451</v>
      </c>
      <c r="E4" s="4" t="s">
        <v>452</v>
      </c>
      <c r="F4" s="4" t="s">
        <v>453</v>
      </c>
      <c r="G4" s="4" t="s">
        <v>447</v>
      </c>
      <c r="H4" s="4" t="s">
        <v>448</v>
      </c>
      <c r="I4" s="4" t="s">
        <v>449</v>
      </c>
      <c r="J4" s="4" t="s">
        <v>446</v>
      </c>
      <c r="K4" s="4" t="s">
        <v>470</v>
      </c>
      <c r="L4" s="4" t="s">
        <v>471</v>
      </c>
      <c r="M4" s="4" t="s">
        <v>472</v>
      </c>
      <c r="O4" s="9" t="s">
        <v>473</v>
      </c>
    </row>
    <row r="5" spans="1:24" x14ac:dyDescent="0.25">
      <c r="A5" s="5">
        <v>1</v>
      </c>
      <c r="B5" s="5">
        <v>1</v>
      </c>
      <c r="C5" s="5">
        <v>1</v>
      </c>
      <c r="D5" s="5">
        <v>0</v>
      </c>
      <c r="E5" s="5">
        <v>0</v>
      </c>
      <c r="F5" s="5">
        <v>0</v>
      </c>
      <c r="G5" s="5">
        <v>1</v>
      </c>
      <c r="H5" s="5">
        <v>1</v>
      </c>
      <c r="I5" s="5">
        <v>1</v>
      </c>
      <c r="J5" s="5">
        <v>1</v>
      </c>
      <c r="K5" s="10">
        <f t="shared" ref="K5:K39" si="0">$P$13+$Q$13*C5+$S$13*D5+$T$13*E5+$U$13*F5+$V$13*G5+$W$13*H5+$X$13*I5</f>
        <v>2.0170624029660891</v>
      </c>
      <c r="L5" s="10">
        <f t="shared" ref="L5:L39" si="1">J5-K5</f>
        <v>-1.0170624029660891</v>
      </c>
      <c r="M5" s="10">
        <f t="shared" ref="M5:M39" si="2">L5^2</f>
        <v>1.0344159315271553</v>
      </c>
      <c r="P5" s="4" t="s">
        <v>449</v>
      </c>
      <c r="Q5" s="4" t="s">
        <v>448</v>
      </c>
      <c r="R5" s="4" t="s">
        <v>447</v>
      </c>
      <c r="S5" s="4" t="s">
        <v>453</v>
      </c>
      <c r="T5" s="4" t="s">
        <v>452</v>
      </c>
      <c r="U5" s="4" t="s">
        <v>451</v>
      </c>
      <c r="V5" s="4" t="s">
        <v>474</v>
      </c>
      <c r="W5" s="4" t="s">
        <v>475</v>
      </c>
    </row>
    <row r="6" spans="1:24" x14ac:dyDescent="0.25">
      <c r="A6" s="5">
        <v>2</v>
      </c>
      <c r="B6" s="5">
        <v>1</v>
      </c>
      <c r="C6" s="5">
        <v>2</v>
      </c>
      <c r="D6" s="5">
        <v>1</v>
      </c>
      <c r="E6" s="5">
        <v>0</v>
      </c>
      <c r="F6" s="5">
        <v>0</v>
      </c>
      <c r="G6" s="5">
        <v>3</v>
      </c>
      <c r="H6" s="5">
        <v>6</v>
      </c>
      <c r="I6" s="5">
        <v>7</v>
      </c>
      <c r="J6" s="5">
        <v>7</v>
      </c>
      <c r="K6" s="10">
        <f t="shared" si="0"/>
        <v>7.1376730573723011</v>
      </c>
      <c r="L6" s="10">
        <f t="shared" si="1"/>
        <v>-0.13767305737230107</v>
      </c>
      <c r="M6" s="10">
        <f t="shared" si="2"/>
        <v>1.8953870726236902E-2</v>
      </c>
      <c r="O6" s="6" t="s">
        <v>476</v>
      </c>
      <c r="P6" s="11">
        <f t="array" ref="P6:W10">IFERROR(LINEST(J5:J39,C5:I39,TRUE,TRUE),"")</f>
        <v>0.44186157338108412</v>
      </c>
      <c r="Q6" s="11">
        <v>0.32504632053809701</v>
      </c>
      <c r="R6" s="11">
        <v>0.55701625887945105</v>
      </c>
      <c r="S6" s="11">
        <v>0.93609749069332548</v>
      </c>
      <c r="T6" s="11">
        <v>-3.3986402849457885E-2</v>
      </c>
      <c r="U6" s="11">
        <v>-0.27773881233952535</v>
      </c>
      <c r="V6" s="11">
        <v>7.9159060098456767E-3</v>
      </c>
      <c r="W6" s="11">
        <v>0.68522234415761107</v>
      </c>
    </row>
    <row r="7" spans="1:24" x14ac:dyDescent="0.25">
      <c r="A7" s="5">
        <v>3</v>
      </c>
      <c r="B7" s="5">
        <v>1</v>
      </c>
      <c r="C7" s="5">
        <v>3</v>
      </c>
      <c r="D7" s="5">
        <v>0</v>
      </c>
      <c r="E7" s="5">
        <v>1</v>
      </c>
      <c r="F7" s="5">
        <v>0</v>
      </c>
      <c r="G7" s="5">
        <v>2</v>
      </c>
      <c r="H7" s="5">
        <v>2</v>
      </c>
      <c r="I7" s="5">
        <v>3</v>
      </c>
      <c r="J7" s="5">
        <v>3</v>
      </c>
      <c r="K7" s="10">
        <f t="shared" si="0"/>
        <v>3.7646935383160387</v>
      </c>
      <c r="L7" s="10">
        <f t="shared" si="1"/>
        <v>-0.7646935383160387</v>
      </c>
      <c r="M7" s="10">
        <f t="shared" si="2"/>
        <v>0.58475620754230295</v>
      </c>
      <c r="O7" s="6" t="s">
        <v>477</v>
      </c>
      <c r="P7" s="11">
        <v>0.14965811328684811</v>
      </c>
      <c r="Q7" s="11">
        <v>0.1219062560105981</v>
      </c>
      <c r="R7" s="11">
        <v>0.13170847175224992</v>
      </c>
      <c r="S7" s="11">
        <v>0.44123865439457294</v>
      </c>
      <c r="T7" s="11">
        <v>0.46892258767553924</v>
      </c>
      <c r="U7" s="11">
        <v>0.53744489446292609</v>
      </c>
      <c r="V7" s="11">
        <v>1.4757941129560853E-2</v>
      </c>
      <c r="W7" s="11">
        <v>0.45863325402020916</v>
      </c>
    </row>
    <row r="8" spans="1:24" x14ac:dyDescent="0.25">
      <c r="A8" s="5">
        <v>4</v>
      </c>
      <c r="B8" s="5">
        <v>1</v>
      </c>
      <c r="C8" s="5">
        <v>4</v>
      </c>
      <c r="D8" s="5">
        <v>0</v>
      </c>
      <c r="E8" s="5">
        <v>0</v>
      </c>
      <c r="F8" s="5">
        <v>1</v>
      </c>
      <c r="G8" s="5">
        <v>3</v>
      </c>
      <c r="H8" s="5">
        <v>1</v>
      </c>
      <c r="I8" s="5">
        <v>2</v>
      </c>
      <c r="J8" s="5">
        <v>5</v>
      </c>
      <c r="K8" s="10">
        <f t="shared" si="0"/>
        <v>4.5328017028289374</v>
      </c>
      <c r="L8" s="10">
        <f t="shared" si="1"/>
        <v>0.46719829717106265</v>
      </c>
      <c r="M8" s="10">
        <f t="shared" si="2"/>
        <v>0.21827424887954056</v>
      </c>
      <c r="O8" s="6" t="s">
        <v>478</v>
      </c>
      <c r="P8" s="11">
        <v>0.84352246003119424</v>
      </c>
      <c r="Q8" s="11">
        <v>0.86856426694739242</v>
      </c>
      <c r="R8" s="11" t="str">
        <v/>
      </c>
      <c r="S8" s="11" t="str">
        <v/>
      </c>
      <c r="T8" s="11" t="str">
        <v/>
      </c>
      <c r="U8" s="11" t="str">
        <v/>
      </c>
      <c r="V8" s="11" t="str">
        <v/>
      </c>
      <c r="W8" s="11" t="str">
        <v/>
      </c>
    </row>
    <row r="9" spans="1:24" x14ac:dyDescent="0.25">
      <c r="A9" s="5">
        <v>5</v>
      </c>
      <c r="B9" s="5">
        <v>1</v>
      </c>
      <c r="C9" s="5">
        <v>5</v>
      </c>
      <c r="D9" s="5">
        <v>0</v>
      </c>
      <c r="E9" s="5">
        <v>0</v>
      </c>
      <c r="F9" s="5">
        <v>0</v>
      </c>
      <c r="G9" s="5">
        <v>2</v>
      </c>
      <c r="H9" s="5">
        <v>4</v>
      </c>
      <c r="I9" s="5">
        <v>3</v>
      </c>
      <c r="J9" s="5">
        <v>5</v>
      </c>
      <c r="K9" s="10">
        <f t="shared" si="0"/>
        <v>4.4646043942613822</v>
      </c>
      <c r="L9" s="10">
        <f t="shared" si="1"/>
        <v>0.53539560573861777</v>
      </c>
      <c r="M9" s="10">
        <f t="shared" si="2"/>
        <v>0.28664845464422145</v>
      </c>
      <c r="O9" s="6" t="s">
        <v>479</v>
      </c>
      <c r="P9" s="11">
        <v>20.792674988356186</v>
      </c>
      <c r="Q9" s="11">
        <v>27</v>
      </c>
      <c r="R9" s="11" t="str">
        <v/>
      </c>
      <c r="S9" s="11" t="str">
        <v/>
      </c>
      <c r="T9" s="11" t="str">
        <v/>
      </c>
      <c r="U9" s="11" t="str">
        <v/>
      </c>
      <c r="V9" s="11" t="str">
        <v/>
      </c>
      <c r="W9" s="11" t="str">
        <v/>
      </c>
    </row>
    <row r="10" spans="1:24" x14ac:dyDescent="0.25">
      <c r="A10" s="5">
        <v>6</v>
      </c>
      <c r="B10" s="5">
        <v>1</v>
      </c>
      <c r="C10" s="5">
        <v>6</v>
      </c>
      <c r="D10" s="5">
        <v>1</v>
      </c>
      <c r="E10" s="5">
        <v>0</v>
      </c>
      <c r="F10" s="5">
        <v>0</v>
      </c>
      <c r="G10" s="5">
        <v>2</v>
      </c>
      <c r="H10" s="5">
        <v>7</v>
      </c>
      <c r="I10" s="5">
        <v>7</v>
      </c>
      <c r="J10" s="5">
        <v>8</v>
      </c>
      <c r="K10" s="10">
        <f t="shared" si="0"/>
        <v>6.9373667430703296</v>
      </c>
      <c r="L10" s="10">
        <f t="shared" si="1"/>
        <v>1.0626332569296704</v>
      </c>
      <c r="M10" s="10">
        <f t="shared" si="2"/>
        <v>1.1291894387329589</v>
      </c>
      <c r="O10" s="6" t="s">
        <v>480</v>
      </c>
      <c r="P10" s="11">
        <v>109.80252365434632</v>
      </c>
      <c r="Q10" s="11">
        <v>20.368904917082254</v>
      </c>
      <c r="R10" s="11" t="str">
        <v/>
      </c>
      <c r="S10" s="11" t="str">
        <v/>
      </c>
      <c r="T10" s="11" t="str">
        <v/>
      </c>
      <c r="U10" s="11" t="str">
        <v/>
      </c>
      <c r="V10" s="11" t="str">
        <v/>
      </c>
      <c r="W10" s="11" t="str">
        <v/>
      </c>
    </row>
    <row r="11" spans="1:24" x14ac:dyDescent="0.25">
      <c r="A11" s="5">
        <v>7</v>
      </c>
      <c r="B11" s="5">
        <v>1</v>
      </c>
      <c r="C11" s="5">
        <v>8</v>
      </c>
      <c r="D11" s="5">
        <v>0</v>
      </c>
      <c r="E11" s="5">
        <v>0</v>
      </c>
      <c r="F11" s="5">
        <v>1</v>
      </c>
      <c r="G11" s="5">
        <v>4</v>
      </c>
      <c r="H11" s="5">
        <v>1</v>
      </c>
      <c r="I11" s="5">
        <v>0</v>
      </c>
      <c r="J11" s="5">
        <v>6</v>
      </c>
      <c r="K11" s="10">
        <f t="shared" si="0"/>
        <v>4.2377584389856029</v>
      </c>
      <c r="L11" s="10">
        <f t="shared" si="1"/>
        <v>1.7622415610143971</v>
      </c>
      <c r="M11" s="10">
        <f t="shared" si="2"/>
        <v>3.105495319366459</v>
      </c>
    </row>
    <row r="12" spans="1:24" x14ac:dyDescent="0.25">
      <c r="A12" s="5">
        <v>8</v>
      </c>
      <c r="B12" s="5">
        <v>1</v>
      </c>
      <c r="C12" s="5">
        <v>9</v>
      </c>
      <c r="D12" s="5">
        <v>0</v>
      </c>
      <c r="E12" s="5">
        <v>0</v>
      </c>
      <c r="F12" s="5">
        <v>0</v>
      </c>
      <c r="G12" s="5">
        <v>1</v>
      </c>
      <c r="H12" s="5">
        <v>1</v>
      </c>
      <c r="I12" s="5">
        <v>0</v>
      </c>
      <c r="J12" s="5">
        <v>2</v>
      </c>
      <c r="K12" s="10">
        <f t="shared" si="0"/>
        <v>1.6385280776637701</v>
      </c>
      <c r="L12" s="10">
        <f t="shared" si="1"/>
        <v>0.36147192233622993</v>
      </c>
      <c r="M12" s="10">
        <f t="shared" si="2"/>
        <v>0.13066195063744945</v>
      </c>
      <c r="O12" s="9" t="s">
        <v>481</v>
      </c>
      <c r="P12" s="4" t="s">
        <v>475</v>
      </c>
      <c r="Q12" s="4" t="s">
        <v>474</v>
      </c>
      <c r="R12" s="4" t="s">
        <v>450</v>
      </c>
      <c r="S12" s="4" t="s">
        <v>451</v>
      </c>
      <c r="T12" s="4" t="s">
        <v>452</v>
      </c>
      <c r="U12" s="4" t="s">
        <v>453</v>
      </c>
      <c r="V12" s="4" t="s">
        <v>447</v>
      </c>
      <c r="W12" s="4" t="s">
        <v>448</v>
      </c>
      <c r="X12" s="4" t="s">
        <v>449</v>
      </c>
    </row>
    <row r="13" spans="1:24" x14ac:dyDescent="0.25">
      <c r="A13" s="5">
        <v>9</v>
      </c>
      <c r="B13" s="5">
        <v>1</v>
      </c>
      <c r="C13" s="5">
        <v>10</v>
      </c>
      <c r="D13" s="5">
        <v>1</v>
      </c>
      <c r="E13" s="5">
        <v>0</v>
      </c>
      <c r="F13" s="5">
        <v>0</v>
      </c>
      <c r="G13" s="5">
        <v>2</v>
      </c>
      <c r="H13" s="5">
        <v>4</v>
      </c>
      <c r="I13" s="5">
        <v>5</v>
      </c>
      <c r="J13" s="5">
        <v>5</v>
      </c>
      <c r="K13" s="10">
        <f t="shared" si="0"/>
        <v>5.1101682587332533</v>
      </c>
      <c r="L13" s="10">
        <f t="shared" si="1"/>
        <v>-0.11016825873325331</v>
      </c>
      <c r="M13" s="10">
        <f t="shared" si="2"/>
        <v>1.2137045232317045E-2</v>
      </c>
      <c r="O13" s="6" t="s">
        <v>482</v>
      </c>
      <c r="P13" s="12">
        <f>W6</f>
        <v>0.68522234415761107</v>
      </c>
      <c r="Q13" s="12">
        <f>V6</f>
        <v>7.9159060098456767E-3</v>
      </c>
      <c r="R13" s="12">
        <v>0</v>
      </c>
      <c r="S13" s="12">
        <f>U6</f>
        <v>-0.27773881233952535</v>
      </c>
      <c r="T13" s="12">
        <f>T6</f>
        <v>-3.3986402849457885E-2</v>
      </c>
      <c r="U13" s="12">
        <f>S6</f>
        <v>0.93609749069332548</v>
      </c>
      <c r="V13" s="12">
        <f>R6</f>
        <v>0.55701625887945105</v>
      </c>
      <c r="W13" s="12">
        <f>Q6</f>
        <v>0.32504632053809701</v>
      </c>
      <c r="X13" s="12">
        <f>P6</f>
        <v>0.44186157338108412</v>
      </c>
    </row>
    <row r="14" spans="1:24" x14ac:dyDescent="0.25">
      <c r="A14" s="5">
        <v>10</v>
      </c>
      <c r="B14" s="5">
        <v>1</v>
      </c>
      <c r="C14" s="5">
        <v>11</v>
      </c>
      <c r="D14" s="5">
        <v>0</v>
      </c>
      <c r="E14" s="5">
        <v>1</v>
      </c>
      <c r="F14" s="5">
        <v>0</v>
      </c>
      <c r="G14" s="5">
        <v>1</v>
      </c>
      <c r="H14" s="5">
        <v>5</v>
      </c>
      <c r="I14" s="5">
        <v>2</v>
      </c>
      <c r="J14" s="5">
        <v>4</v>
      </c>
      <c r="K14" s="10">
        <f t="shared" si="0"/>
        <v>3.8042819157485601</v>
      </c>
      <c r="L14" s="10">
        <f t="shared" si="1"/>
        <v>0.19571808425143988</v>
      </c>
      <c r="M14" s="10">
        <f t="shared" si="2"/>
        <v>3.8305568503053722E-2</v>
      </c>
      <c r="O14" s="6" t="s">
        <v>477</v>
      </c>
      <c r="P14" s="13">
        <f>W7</f>
        <v>0.45863325402020916</v>
      </c>
      <c r="Q14" s="13">
        <f>V7</f>
        <v>1.4757941129560853E-2</v>
      </c>
      <c r="R14" s="13" t="s">
        <v>483</v>
      </c>
      <c r="S14" s="13">
        <f>U7</f>
        <v>0.53744489446292609</v>
      </c>
      <c r="T14" s="13">
        <f>T7</f>
        <v>0.46892258767553924</v>
      </c>
      <c r="U14" s="13">
        <f>S7</f>
        <v>0.44123865439457294</v>
      </c>
      <c r="V14" s="13">
        <f>R7</f>
        <v>0.13170847175224992</v>
      </c>
      <c r="W14" s="13">
        <f>Q7</f>
        <v>0.1219062560105981</v>
      </c>
      <c r="X14" s="13">
        <f>P7</f>
        <v>0.14965811328684811</v>
      </c>
    </row>
    <row r="15" spans="1:24" x14ac:dyDescent="0.25">
      <c r="A15" s="5">
        <v>11</v>
      </c>
      <c r="B15" s="5">
        <v>1</v>
      </c>
      <c r="C15" s="5">
        <v>12</v>
      </c>
      <c r="D15" s="5">
        <v>0</v>
      </c>
      <c r="E15" s="5">
        <v>0</v>
      </c>
      <c r="F15" s="5">
        <v>1</v>
      </c>
      <c r="G15" s="5">
        <v>4</v>
      </c>
      <c r="H15" s="5">
        <v>1</v>
      </c>
      <c r="I15" s="5">
        <v>3</v>
      </c>
      <c r="J15" s="5">
        <v>5</v>
      </c>
      <c r="K15" s="10">
        <f t="shared" si="0"/>
        <v>5.5950067831682375</v>
      </c>
      <c r="L15" s="10">
        <f t="shared" si="1"/>
        <v>-0.59500678316823752</v>
      </c>
      <c r="M15" s="10">
        <f t="shared" si="2"/>
        <v>0.35403307201621403</v>
      </c>
      <c r="O15" s="6" t="s">
        <v>484</v>
      </c>
      <c r="P15" s="13">
        <f>P13/P14</f>
        <v>1.4940529020763451</v>
      </c>
      <c r="Q15" s="13">
        <f>Q13/Q14</f>
        <v>0.53638281521463338</v>
      </c>
      <c r="R15" s="13" t="s">
        <v>483</v>
      </c>
      <c r="S15" s="13">
        <f t="shared" ref="S15:X15" si="3">S13/S14</f>
        <v>-0.51677635270323374</v>
      </c>
      <c r="T15" s="13">
        <f t="shared" si="3"/>
        <v>-7.2477640750745906E-2</v>
      </c>
      <c r="U15" s="13">
        <f t="shared" si="3"/>
        <v>2.1215219504686242</v>
      </c>
      <c r="V15" s="13">
        <f t="shared" si="3"/>
        <v>4.2291604440390582</v>
      </c>
      <c r="W15" s="13">
        <f t="shared" si="3"/>
        <v>2.6663629183217523</v>
      </c>
      <c r="X15" s="13">
        <f t="shared" si="3"/>
        <v>2.9524732316661826</v>
      </c>
    </row>
    <row r="16" spans="1:24" x14ac:dyDescent="0.25">
      <c r="A16" s="5">
        <v>12</v>
      </c>
      <c r="B16" s="5">
        <v>1</v>
      </c>
      <c r="C16" s="5">
        <v>13</v>
      </c>
      <c r="D16" s="5">
        <v>0</v>
      </c>
      <c r="E16" s="5">
        <v>0</v>
      </c>
      <c r="F16" s="5">
        <v>0</v>
      </c>
      <c r="G16" s="5">
        <v>2</v>
      </c>
      <c r="H16" s="5">
        <v>0</v>
      </c>
      <c r="I16" s="5">
        <v>0</v>
      </c>
      <c r="J16" s="5">
        <v>2</v>
      </c>
      <c r="K16" s="10">
        <f t="shared" si="0"/>
        <v>1.9021616400445069</v>
      </c>
      <c r="L16" s="10">
        <f t="shared" si="1"/>
        <v>9.7838359955493059E-2</v>
      </c>
      <c r="M16" s="10">
        <f t="shared" si="2"/>
        <v>9.5723446787806272E-3</v>
      </c>
      <c r="O16" t="s">
        <v>485</v>
      </c>
      <c r="W16" s="14">
        <f>_xlfn.T.INV.2T(0.05,27)</f>
        <v>2.0518305164802859</v>
      </c>
    </row>
    <row r="17" spans="1:16" x14ac:dyDescent="0.25">
      <c r="A17" s="5">
        <v>13</v>
      </c>
      <c r="B17" s="5">
        <v>1</v>
      </c>
      <c r="C17" s="5">
        <v>14</v>
      </c>
      <c r="D17" s="5">
        <v>1</v>
      </c>
      <c r="E17" s="5">
        <v>0</v>
      </c>
      <c r="F17" s="5">
        <v>0</v>
      </c>
      <c r="G17" s="5">
        <v>4</v>
      </c>
      <c r="H17" s="5">
        <v>5</v>
      </c>
      <c r="I17" s="5">
        <v>5</v>
      </c>
      <c r="J17" s="5">
        <v>6</v>
      </c>
      <c r="K17" s="10">
        <f t="shared" si="0"/>
        <v>6.5809107210696354</v>
      </c>
      <c r="L17" s="10">
        <f t="shared" si="1"/>
        <v>-0.58091072106963537</v>
      </c>
      <c r="M17" s="10">
        <f t="shared" si="2"/>
        <v>0.33745726585364372</v>
      </c>
    </row>
    <row r="18" spans="1:16" x14ac:dyDescent="0.25">
      <c r="A18" s="5">
        <v>14</v>
      </c>
      <c r="B18" s="5">
        <v>1</v>
      </c>
      <c r="C18" s="5">
        <v>15</v>
      </c>
      <c r="D18" s="5">
        <v>0</v>
      </c>
      <c r="E18" s="5">
        <v>1</v>
      </c>
      <c r="F18" s="5">
        <v>0</v>
      </c>
      <c r="G18" s="5">
        <v>2</v>
      </c>
      <c r="H18" s="5">
        <v>4</v>
      </c>
      <c r="I18" s="5">
        <v>4</v>
      </c>
      <c r="J18" s="5">
        <v>6</v>
      </c>
      <c r="K18" s="10">
        <f t="shared" si="0"/>
        <v>4.9516386248914657</v>
      </c>
      <c r="L18" s="10">
        <f t="shared" si="1"/>
        <v>1.0483613751085343</v>
      </c>
      <c r="M18" s="10">
        <f t="shared" si="2"/>
        <v>1.099061572819457</v>
      </c>
      <c r="O18" s="9" t="s">
        <v>486</v>
      </c>
    </row>
    <row r="19" spans="1:16" x14ac:dyDescent="0.25">
      <c r="A19" s="5">
        <v>15</v>
      </c>
      <c r="B19" s="5">
        <v>1</v>
      </c>
      <c r="C19" s="5">
        <v>16</v>
      </c>
      <c r="D19" s="5">
        <v>0</v>
      </c>
      <c r="E19" s="5">
        <v>0</v>
      </c>
      <c r="F19" s="5">
        <v>1</v>
      </c>
      <c r="G19" s="5">
        <v>5</v>
      </c>
      <c r="H19" s="5">
        <v>5</v>
      </c>
      <c r="I19" s="5">
        <v>2</v>
      </c>
      <c r="J19" s="5">
        <v>7</v>
      </c>
      <c r="K19" s="10">
        <f t="shared" si="0"/>
        <v>7.0420103748583767</v>
      </c>
      <c r="L19" s="10">
        <f t="shared" si="1"/>
        <v>-4.2010374858376665E-2</v>
      </c>
      <c r="M19" s="10">
        <f t="shared" si="2"/>
        <v>1.7648715957413262E-3</v>
      </c>
      <c r="O19" s="3" t="s">
        <v>475</v>
      </c>
      <c r="P19" s="11">
        <f t="array" ref="P19:P26">MMULT(MINVERSE(MMULT(TRANSPOSE(B5:I39),B5:I39)),MMULT(TRANSPOSE(B5:I39),J5:J39))</f>
        <v>0.68522234415762595</v>
      </c>
    </row>
    <row r="20" spans="1:16" x14ac:dyDescent="0.25">
      <c r="A20" s="5">
        <v>16</v>
      </c>
      <c r="B20" s="5">
        <v>1</v>
      </c>
      <c r="C20" s="5">
        <v>17</v>
      </c>
      <c r="D20" s="5">
        <v>0</v>
      </c>
      <c r="E20" s="5">
        <v>0</v>
      </c>
      <c r="F20" s="5">
        <v>0</v>
      </c>
      <c r="G20" s="5">
        <v>4</v>
      </c>
      <c r="H20" s="5">
        <v>4</v>
      </c>
      <c r="I20" s="5">
        <v>4</v>
      </c>
      <c r="J20" s="5">
        <v>5</v>
      </c>
      <c r="K20" s="10">
        <f t="shared" si="0"/>
        <v>6.1154893575195164</v>
      </c>
      <c r="L20" s="10">
        <f t="shared" si="1"/>
        <v>-1.1154893575195164</v>
      </c>
      <c r="M20" s="10">
        <f t="shared" si="2"/>
        <v>1.2443165067393034</v>
      </c>
      <c r="O20" s="3" t="s">
        <v>474</v>
      </c>
      <c r="P20" s="11">
        <v>7.9159060098458051E-3</v>
      </c>
    </row>
    <row r="21" spans="1:16" x14ac:dyDescent="0.25">
      <c r="A21" s="5">
        <v>17</v>
      </c>
      <c r="B21" s="5">
        <v>1</v>
      </c>
      <c r="C21" s="5">
        <v>18</v>
      </c>
      <c r="D21" s="5">
        <v>1</v>
      </c>
      <c r="E21" s="5">
        <v>0</v>
      </c>
      <c r="F21" s="5">
        <v>0</v>
      </c>
      <c r="G21" s="5">
        <v>2</v>
      </c>
      <c r="H21" s="5">
        <v>2</v>
      </c>
      <c r="I21" s="5">
        <v>3</v>
      </c>
      <c r="J21" s="5">
        <v>3</v>
      </c>
      <c r="K21" s="10">
        <f t="shared" si="0"/>
        <v>3.6396797189736563</v>
      </c>
      <c r="L21" s="10">
        <f t="shared" si="1"/>
        <v>-0.63967971897365627</v>
      </c>
      <c r="M21" s="10">
        <f t="shared" si="2"/>
        <v>0.40919014286621586</v>
      </c>
      <c r="O21" s="3" t="s">
        <v>451</v>
      </c>
      <c r="P21" s="11">
        <v>-0.2777388123395248</v>
      </c>
    </row>
    <row r="22" spans="1:16" x14ac:dyDescent="0.25">
      <c r="A22" s="5">
        <v>18</v>
      </c>
      <c r="B22" s="5">
        <v>1</v>
      </c>
      <c r="C22" s="5">
        <v>19</v>
      </c>
      <c r="D22" s="5">
        <v>0</v>
      </c>
      <c r="E22" s="5">
        <v>1</v>
      </c>
      <c r="F22" s="5">
        <v>0</v>
      </c>
      <c r="G22" s="5">
        <v>2</v>
      </c>
      <c r="H22" s="5">
        <v>3</v>
      </c>
      <c r="I22" s="5">
        <v>2</v>
      </c>
      <c r="J22" s="5">
        <v>4</v>
      </c>
      <c r="K22" s="10">
        <f t="shared" si="0"/>
        <v>3.7745327816305823</v>
      </c>
      <c r="L22" s="10">
        <f t="shared" si="1"/>
        <v>0.22546721836941774</v>
      </c>
      <c r="M22" s="10">
        <f t="shared" si="2"/>
        <v>5.0835466559242704E-2</v>
      </c>
      <c r="O22" s="3" t="s">
        <v>452</v>
      </c>
      <c r="P22" s="11">
        <v>-3.3986402849459196E-2</v>
      </c>
    </row>
    <row r="23" spans="1:16" x14ac:dyDescent="0.25">
      <c r="A23" s="5">
        <v>19</v>
      </c>
      <c r="B23" s="5">
        <v>1</v>
      </c>
      <c r="C23" s="5">
        <v>20</v>
      </c>
      <c r="D23" s="5">
        <v>0</v>
      </c>
      <c r="E23" s="5">
        <v>0</v>
      </c>
      <c r="F23" s="5">
        <v>1</v>
      </c>
      <c r="G23" s="5">
        <v>4</v>
      </c>
      <c r="H23" s="5">
        <v>3</v>
      </c>
      <c r="I23" s="5">
        <v>1</v>
      </c>
      <c r="J23" s="5">
        <v>6</v>
      </c>
      <c r="K23" s="10">
        <f t="shared" si="0"/>
        <v>5.4247035255610294</v>
      </c>
      <c r="L23" s="10">
        <f t="shared" si="1"/>
        <v>0.57529647443897058</v>
      </c>
      <c r="M23" s="10">
        <f t="shared" si="2"/>
        <v>0.33096603350190912</v>
      </c>
      <c r="O23" s="3" t="s">
        <v>453</v>
      </c>
      <c r="P23" s="11">
        <v>0.93609749069331549</v>
      </c>
    </row>
    <row r="24" spans="1:16" x14ac:dyDescent="0.25">
      <c r="A24" s="5">
        <v>20</v>
      </c>
      <c r="B24" s="5">
        <v>1</v>
      </c>
      <c r="C24" s="5">
        <v>21</v>
      </c>
      <c r="D24" s="5">
        <v>0</v>
      </c>
      <c r="E24" s="5">
        <v>0</v>
      </c>
      <c r="F24" s="5">
        <v>0</v>
      </c>
      <c r="G24" s="5">
        <v>4</v>
      </c>
      <c r="H24" s="5">
        <v>4</v>
      </c>
      <c r="I24" s="5">
        <v>3</v>
      </c>
      <c r="J24" s="5">
        <v>6</v>
      </c>
      <c r="K24" s="10">
        <f t="shared" si="0"/>
        <v>5.7052914081778159</v>
      </c>
      <c r="L24" s="10">
        <f t="shared" si="1"/>
        <v>0.29470859182218412</v>
      </c>
      <c r="M24" s="10">
        <f t="shared" si="2"/>
        <v>8.6853154093814722E-2</v>
      </c>
      <c r="O24" s="3" t="s">
        <v>447</v>
      </c>
      <c r="P24" s="11">
        <v>0.55701625887945116</v>
      </c>
    </row>
    <row r="25" spans="1:16" x14ac:dyDescent="0.25">
      <c r="A25" s="5">
        <v>21</v>
      </c>
      <c r="B25" s="5">
        <v>1</v>
      </c>
      <c r="C25" s="5">
        <v>22</v>
      </c>
      <c r="D25" s="5">
        <v>1</v>
      </c>
      <c r="E25" s="5">
        <v>0</v>
      </c>
      <c r="F25" s="5">
        <v>0</v>
      </c>
      <c r="G25" s="5">
        <v>3</v>
      </c>
      <c r="H25" s="5">
        <v>7</v>
      </c>
      <c r="I25" s="5">
        <v>6</v>
      </c>
      <c r="J25" s="5">
        <v>7</v>
      </c>
      <c r="K25" s="10">
        <f t="shared" si="0"/>
        <v>7.1791759247262279</v>
      </c>
      <c r="L25" s="10">
        <f t="shared" si="1"/>
        <v>-0.1791759247262279</v>
      </c>
      <c r="M25" s="10">
        <f t="shared" si="2"/>
        <v>3.2104012001498886E-2</v>
      </c>
      <c r="O25" s="3" t="s">
        <v>448</v>
      </c>
      <c r="P25" s="11">
        <v>0.32504632053809601</v>
      </c>
    </row>
    <row r="26" spans="1:16" x14ac:dyDescent="0.25">
      <c r="A26" s="5">
        <v>22</v>
      </c>
      <c r="B26" s="5">
        <v>1</v>
      </c>
      <c r="C26" s="5">
        <v>23</v>
      </c>
      <c r="D26" s="5">
        <v>0</v>
      </c>
      <c r="E26" s="5">
        <v>1</v>
      </c>
      <c r="F26" s="5">
        <v>0</v>
      </c>
      <c r="G26" s="5">
        <v>4</v>
      </c>
      <c r="H26" s="5">
        <v>6</v>
      </c>
      <c r="I26" s="5">
        <v>5</v>
      </c>
      <c r="J26" s="5">
        <v>7</v>
      </c>
      <c r="K26" s="10">
        <f t="shared" si="0"/>
        <v>7.2209526051864117</v>
      </c>
      <c r="L26" s="10">
        <f t="shared" si="1"/>
        <v>-0.22095260518641169</v>
      </c>
      <c r="M26" s="10">
        <f t="shared" si="2"/>
        <v>4.8820053738662321E-2</v>
      </c>
      <c r="O26" s="3" t="s">
        <v>449</v>
      </c>
      <c r="P26" s="11">
        <v>0.44186157338108245</v>
      </c>
    </row>
    <row r="27" spans="1:16" x14ac:dyDescent="0.25">
      <c r="A27" s="5">
        <v>23</v>
      </c>
      <c r="B27" s="5">
        <v>1</v>
      </c>
      <c r="C27" s="5">
        <v>24</v>
      </c>
      <c r="D27" s="5">
        <v>0</v>
      </c>
      <c r="E27" s="5">
        <v>0</v>
      </c>
      <c r="F27" s="5">
        <v>1</v>
      </c>
      <c r="G27" s="5">
        <v>3</v>
      </c>
      <c r="H27" s="5">
        <v>3</v>
      </c>
      <c r="I27" s="5">
        <v>2</v>
      </c>
      <c r="J27" s="5">
        <v>3</v>
      </c>
      <c r="K27" s="10">
        <f t="shared" si="0"/>
        <v>5.3412124641020453</v>
      </c>
      <c r="L27" s="10">
        <f t="shared" si="1"/>
        <v>-2.3412124641020453</v>
      </c>
      <c r="M27" s="10">
        <f t="shared" si="2"/>
        <v>5.4812758020667705</v>
      </c>
    </row>
    <row r="28" spans="1:16" x14ac:dyDescent="0.25">
      <c r="A28" s="5">
        <v>24</v>
      </c>
      <c r="B28" s="5">
        <v>1</v>
      </c>
      <c r="C28" s="5">
        <v>25</v>
      </c>
      <c r="D28" s="5">
        <v>0</v>
      </c>
      <c r="E28" s="5">
        <v>0</v>
      </c>
      <c r="F28" s="5">
        <v>0</v>
      </c>
      <c r="G28" s="5">
        <v>1</v>
      </c>
      <c r="H28" s="5">
        <v>1</v>
      </c>
      <c r="I28" s="5">
        <v>0</v>
      </c>
      <c r="J28" s="5">
        <v>1</v>
      </c>
      <c r="K28" s="10">
        <f t="shared" si="0"/>
        <v>1.7651825738213009</v>
      </c>
      <c r="L28" s="10">
        <f t="shared" si="1"/>
        <v>-0.76518257382130095</v>
      </c>
      <c r="M28" s="10">
        <f t="shared" si="2"/>
        <v>0.58550437127979071</v>
      </c>
      <c r="O28" s="9" t="s">
        <v>487</v>
      </c>
    </row>
    <row r="29" spans="1:16" x14ac:dyDescent="0.25">
      <c r="A29" s="5">
        <v>25</v>
      </c>
      <c r="B29" s="5">
        <v>1</v>
      </c>
      <c r="C29" s="5">
        <v>26</v>
      </c>
      <c r="D29" s="5">
        <v>1</v>
      </c>
      <c r="E29" s="5">
        <v>0</v>
      </c>
      <c r="F29" s="5">
        <v>0</v>
      </c>
      <c r="G29" s="5">
        <v>0</v>
      </c>
      <c r="H29" s="5">
        <v>1</v>
      </c>
      <c r="I29" s="5">
        <v>1</v>
      </c>
      <c r="J29" s="5">
        <v>1</v>
      </c>
      <c r="K29" s="10">
        <f t="shared" si="0"/>
        <v>1.3802049819932545</v>
      </c>
      <c r="L29" s="10">
        <f t="shared" si="1"/>
        <v>-0.38020498199325448</v>
      </c>
      <c r="M29" s="10">
        <f t="shared" si="2"/>
        <v>0.14455582833249095</v>
      </c>
      <c r="O29" s="5" t="s">
        <v>488</v>
      </c>
      <c r="P29" s="13">
        <f>COUNT(J5:J39)</f>
        <v>35</v>
      </c>
    </row>
    <row r="30" spans="1:16" x14ac:dyDescent="0.25">
      <c r="A30" s="5">
        <v>26</v>
      </c>
      <c r="B30" s="5">
        <v>1</v>
      </c>
      <c r="C30" s="5">
        <v>27</v>
      </c>
      <c r="D30" s="5">
        <v>0</v>
      </c>
      <c r="E30" s="5">
        <v>1</v>
      </c>
      <c r="F30" s="5">
        <v>0</v>
      </c>
      <c r="G30" s="5">
        <v>3</v>
      </c>
      <c r="H30" s="5">
        <v>1</v>
      </c>
      <c r="I30" s="5">
        <v>3</v>
      </c>
      <c r="J30" s="5">
        <v>4</v>
      </c>
      <c r="K30" s="10">
        <f t="shared" si="0"/>
        <v>4.1866452208936886</v>
      </c>
      <c r="L30" s="10">
        <f t="shared" si="1"/>
        <v>-0.18664522089368862</v>
      </c>
      <c r="M30" s="10">
        <f t="shared" si="2"/>
        <v>3.4836438482453817E-2</v>
      </c>
      <c r="O30" s="5" t="s">
        <v>489</v>
      </c>
      <c r="P30" s="13">
        <v>8</v>
      </c>
    </row>
    <row r="31" spans="1:16" x14ac:dyDescent="0.25">
      <c r="A31" s="5">
        <v>27</v>
      </c>
      <c r="B31" s="5">
        <v>1</v>
      </c>
      <c r="C31" s="5">
        <v>28</v>
      </c>
      <c r="D31" s="5">
        <v>0</v>
      </c>
      <c r="E31" s="5">
        <v>0</v>
      </c>
      <c r="F31" s="5">
        <v>1</v>
      </c>
      <c r="G31" s="5">
        <v>1</v>
      </c>
      <c r="H31" s="5">
        <v>0</v>
      </c>
      <c r="I31" s="5">
        <v>1</v>
      </c>
      <c r="J31" s="5">
        <v>2</v>
      </c>
      <c r="K31" s="10">
        <f t="shared" si="0"/>
        <v>2.8418430353871509</v>
      </c>
      <c r="L31" s="10">
        <f t="shared" si="1"/>
        <v>-0.84184303538715088</v>
      </c>
      <c r="M31" s="10">
        <f t="shared" si="2"/>
        <v>0.70869969622985174</v>
      </c>
      <c r="O31" s="5" t="s">
        <v>490</v>
      </c>
      <c r="P31" s="13">
        <f>M40</f>
        <v>20.368904917082233</v>
      </c>
    </row>
    <row r="32" spans="1:16" x14ac:dyDescent="0.25">
      <c r="A32" s="5">
        <v>28</v>
      </c>
      <c r="B32" s="5">
        <v>1</v>
      </c>
      <c r="C32" s="5">
        <v>29</v>
      </c>
      <c r="D32" s="5">
        <v>0</v>
      </c>
      <c r="E32" s="5">
        <v>0</v>
      </c>
      <c r="F32" s="5">
        <v>0</v>
      </c>
      <c r="G32" s="5">
        <v>2</v>
      </c>
      <c r="H32" s="5">
        <v>1</v>
      </c>
      <c r="I32" s="5">
        <v>2</v>
      </c>
      <c r="J32" s="5">
        <v>4</v>
      </c>
      <c r="K32" s="10">
        <f t="shared" si="0"/>
        <v>3.2375856035023034</v>
      </c>
      <c r="L32" s="10">
        <f t="shared" si="1"/>
        <v>0.7624143964976966</v>
      </c>
      <c r="M32" s="10">
        <f t="shared" si="2"/>
        <v>0.58127571198694694</v>
      </c>
      <c r="O32" s="5" t="s">
        <v>491</v>
      </c>
      <c r="P32" s="13">
        <f>DEVSQ(J5:J39)</f>
        <v>130.17142857142858</v>
      </c>
    </row>
    <row r="33" spans="1:24" x14ac:dyDescent="0.25">
      <c r="A33" s="5">
        <v>29</v>
      </c>
      <c r="B33" s="5">
        <v>1</v>
      </c>
      <c r="C33" s="5">
        <v>30</v>
      </c>
      <c r="D33" s="5">
        <v>1</v>
      </c>
      <c r="E33" s="5">
        <v>0</v>
      </c>
      <c r="F33" s="5">
        <v>0</v>
      </c>
      <c r="G33" s="5">
        <v>1</v>
      </c>
      <c r="H33" s="5">
        <v>4</v>
      </c>
      <c r="I33" s="5">
        <v>3</v>
      </c>
      <c r="J33" s="5">
        <v>4</v>
      </c>
      <c r="K33" s="10">
        <f t="shared" si="0"/>
        <v>3.8277469732885474</v>
      </c>
      <c r="L33" s="10">
        <f t="shared" si="1"/>
        <v>0.17225302671145259</v>
      </c>
      <c r="M33" s="10">
        <f t="shared" si="2"/>
        <v>2.9671105211256401E-2</v>
      </c>
      <c r="O33" s="5" t="s">
        <v>492</v>
      </c>
      <c r="P33" s="13">
        <f>1-P31/P32</f>
        <v>0.84352246003119447</v>
      </c>
    </row>
    <row r="34" spans="1:24" x14ac:dyDescent="0.25">
      <c r="A34" s="5">
        <v>30</v>
      </c>
      <c r="B34" s="5">
        <v>1</v>
      </c>
      <c r="C34" s="5">
        <v>31</v>
      </c>
      <c r="D34" s="5">
        <v>0</v>
      </c>
      <c r="E34" s="5">
        <v>1</v>
      </c>
      <c r="F34" s="5">
        <v>0</v>
      </c>
      <c r="G34" s="5">
        <v>7</v>
      </c>
      <c r="H34" s="5">
        <v>4</v>
      </c>
      <c r="I34" s="5">
        <v>4</v>
      </c>
      <c r="J34" s="5">
        <v>8</v>
      </c>
      <c r="K34" s="10">
        <f t="shared" si="0"/>
        <v>7.8633744154462519</v>
      </c>
      <c r="L34" s="10">
        <f t="shared" si="1"/>
        <v>0.13662558455374807</v>
      </c>
      <c r="M34" s="10">
        <f t="shared" si="2"/>
        <v>1.8666550354653363E-2</v>
      </c>
      <c r="O34" s="5" t="s">
        <v>493</v>
      </c>
      <c r="P34" s="13">
        <f>SQRT(P33)</f>
        <v>0.91843478812117874</v>
      </c>
    </row>
    <row r="35" spans="1:24" x14ac:dyDescent="0.25">
      <c r="A35" s="5">
        <v>31</v>
      </c>
      <c r="B35" s="5">
        <v>1</v>
      </c>
      <c r="C35" s="5">
        <v>32</v>
      </c>
      <c r="D35" s="5">
        <v>0</v>
      </c>
      <c r="E35" s="5">
        <v>0</v>
      </c>
      <c r="F35" s="5">
        <v>1</v>
      </c>
      <c r="G35" s="5">
        <v>1</v>
      </c>
      <c r="H35" s="5">
        <v>1</v>
      </c>
      <c r="I35" s="5">
        <v>1</v>
      </c>
      <c r="J35" s="5">
        <v>4</v>
      </c>
      <c r="K35" s="10">
        <f t="shared" si="0"/>
        <v>3.1985529799646306</v>
      </c>
      <c r="L35" s="10">
        <f t="shared" si="1"/>
        <v>0.80144702003536938</v>
      </c>
      <c r="M35" s="10">
        <f t="shared" si="2"/>
        <v>0.64231732592357382</v>
      </c>
      <c r="O35" s="5" t="s">
        <v>494</v>
      </c>
      <c r="P35" s="13">
        <f>(P32-P31)/(P30-1)/(P31/(P29-P30))</f>
        <v>20.792674988356215</v>
      </c>
    </row>
    <row r="36" spans="1:24" x14ac:dyDescent="0.25">
      <c r="A36" s="5">
        <v>32</v>
      </c>
      <c r="B36" s="5">
        <v>1</v>
      </c>
      <c r="C36" s="5">
        <v>33</v>
      </c>
      <c r="D36" s="5">
        <v>0</v>
      </c>
      <c r="E36" s="5">
        <v>0</v>
      </c>
      <c r="F36" s="5">
        <v>0</v>
      </c>
      <c r="G36" s="5">
        <v>1</v>
      </c>
      <c r="H36" s="5">
        <v>1</v>
      </c>
      <c r="I36" s="5">
        <v>3</v>
      </c>
      <c r="J36" s="5">
        <v>4</v>
      </c>
      <c r="K36" s="10">
        <f t="shared" si="0"/>
        <v>3.1540945420433184</v>
      </c>
      <c r="L36" s="10">
        <f t="shared" si="1"/>
        <v>0.84590545795668159</v>
      </c>
      <c r="M36" s="10">
        <f t="shared" si="2"/>
        <v>0.71555604380090321</v>
      </c>
      <c r="O36" s="5" t="s">
        <v>495</v>
      </c>
      <c r="P36" s="13">
        <f>_xlfn.F.DIST.RT(P35,P30-1,P29-P30)</f>
        <v>2.4537783378833997E-9</v>
      </c>
    </row>
    <row r="37" spans="1:24" x14ac:dyDescent="0.25">
      <c r="A37" s="5">
        <v>33</v>
      </c>
      <c r="B37" s="5">
        <v>1</v>
      </c>
      <c r="C37" s="5">
        <v>34</v>
      </c>
      <c r="D37" s="5">
        <v>1</v>
      </c>
      <c r="E37" s="5">
        <v>0</v>
      </c>
      <c r="F37" s="5">
        <v>0</v>
      </c>
      <c r="G37" s="5">
        <v>3</v>
      </c>
      <c r="H37" s="5">
        <v>2</v>
      </c>
      <c r="I37" s="5">
        <v>5</v>
      </c>
      <c r="J37" s="5">
        <v>6</v>
      </c>
      <c r="K37" s="10">
        <f t="shared" si="0"/>
        <v>5.2070736207728068</v>
      </c>
      <c r="L37" s="10">
        <f t="shared" si="1"/>
        <v>0.79292637922719322</v>
      </c>
      <c r="M37" s="10">
        <f t="shared" si="2"/>
        <v>0.62873224287434659</v>
      </c>
      <c r="O37" s="5" t="s">
        <v>496</v>
      </c>
      <c r="P37" s="13">
        <f>SQRT(P31/(P29-P30))</f>
        <v>0.86856426694739197</v>
      </c>
    </row>
    <row r="38" spans="1:24" x14ac:dyDescent="0.25">
      <c r="A38" s="5">
        <v>34</v>
      </c>
      <c r="B38" s="5">
        <v>1</v>
      </c>
      <c r="C38" s="5">
        <v>35</v>
      </c>
      <c r="D38" s="5">
        <v>0</v>
      </c>
      <c r="E38" s="5">
        <v>1</v>
      </c>
      <c r="F38" s="5">
        <v>0</v>
      </c>
      <c r="G38" s="5">
        <v>3</v>
      </c>
      <c r="H38" s="5">
        <v>5</v>
      </c>
      <c r="I38" s="5">
        <v>5</v>
      </c>
      <c r="J38" s="5">
        <v>6</v>
      </c>
      <c r="K38" s="10">
        <f t="shared" si="0"/>
        <v>6.4338808978870112</v>
      </c>
      <c r="L38" s="10">
        <f t="shared" si="1"/>
        <v>-0.43388089788701123</v>
      </c>
      <c r="M38" s="10">
        <f t="shared" si="2"/>
        <v>0.18825263355123906</v>
      </c>
      <c r="O38" s="5" t="s">
        <v>497</v>
      </c>
      <c r="P38" s="13">
        <f>P31/P29</f>
        <v>0.58196871191663524</v>
      </c>
    </row>
    <row r="39" spans="1:24" x14ac:dyDescent="0.25">
      <c r="A39" s="5">
        <v>35</v>
      </c>
      <c r="B39" s="5">
        <v>1</v>
      </c>
      <c r="C39" s="5">
        <v>36</v>
      </c>
      <c r="D39" s="5">
        <v>0</v>
      </c>
      <c r="E39" s="5">
        <v>0</v>
      </c>
      <c r="F39" s="5">
        <v>1</v>
      </c>
      <c r="G39" s="5">
        <v>3</v>
      </c>
      <c r="H39" s="5">
        <v>1</v>
      </c>
      <c r="I39" s="5">
        <v>2</v>
      </c>
      <c r="J39" s="5">
        <v>5</v>
      </c>
      <c r="K39" s="10">
        <f t="shared" si="0"/>
        <v>4.7861106951439991</v>
      </c>
      <c r="L39" s="10">
        <f t="shared" si="1"/>
        <v>0.21388930485600088</v>
      </c>
      <c r="M39" s="10">
        <f t="shared" si="2"/>
        <v>4.5748634731783283E-2</v>
      </c>
    </row>
    <row r="40" spans="1:24" x14ac:dyDescent="0.25">
      <c r="I40" s="3" t="s">
        <v>466</v>
      </c>
      <c r="J40" s="15">
        <f>SUM(J5:J39)</f>
        <v>162</v>
      </c>
      <c r="K40" s="15">
        <f>SUM(K5:K39)</f>
        <v>162.00000000000006</v>
      </c>
      <c r="L40" s="15">
        <f>SUM(L5:L39)</f>
        <v>-3.5083047578154947E-14</v>
      </c>
      <c r="M40" s="15">
        <f>SUM(M5:M39)</f>
        <v>20.368904917082233</v>
      </c>
      <c r="O40" s="9" t="s">
        <v>500</v>
      </c>
    </row>
    <row r="41" spans="1:24" x14ac:dyDescent="0.25">
      <c r="P41" s="4" t="s">
        <v>475</v>
      </c>
      <c r="Q41" s="4" t="s">
        <v>474</v>
      </c>
      <c r="R41" s="4" t="s">
        <v>450</v>
      </c>
      <c r="S41" s="4" t="s">
        <v>451</v>
      </c>
      <c r="T41" s="4" t="s">
        <v>452</v>
      </c>
      <c r="U41" s="4" t="s">
        <v>453</v>
      </c>
      <c r="V41" s="4" t="s">
        <v>447</v>
      </c>
      <c r="W41" s="4" t="s">
        <v>448</v>
      </c>
      <c r="X41" s="4" t="s">
        <v>449</v>
      </c>
    </row>
    <row r="42" spans="1:24" x14ac:dyDescent="0.25">
      <c r="O42" t="s">
        <v>501</v>
      </c>
      <c r="P42" s="13">
        <v>0.68520000000000003</v>
      </c>
      <c r="Q42" s="13">
        <v>7.9000000000000008E-3</v>
      </c>
      <c r="R42" s="13">
        <v>0</v>
      </c>
      <c r="S42" s="13">
        <v>-0.2777</v>
      </c>
      <c r="T42" s="13">
        <v>-3.4000000000000002E-2</v>
      </c>
      <c r="U42" s="13">
        <v>0.93610000000000004</v>
      </c>
      <c r="V42" s="13">
        <v>0.55700000000000005</v>
      </c>
      <c r="W42" s="13">
        <v>0.32500000000000001</v>
      </c>
      <c r="X42" s="13">
        <v>0.44190000000000002</v>
      </c>
    </row>
    <row r="43" spans="1:24" x14ac:dyDescent="0.25">
      <c r="O43" t="s">
        <v>502</v>
      </c>
      <c r="P43" s="13">
        <f t="shared" ref="P43:X43" si="4">P13-P42</f>
        <v>2.2344157611042803E-5</v>
      </c>
      <c r="Q43" s="13">
        <f t="shared" si="4"/>
        <v>1.5906009845675917E-5</v>
      </c>
      <c r="R43" s="13">
        <f t="shared" si="4"/>
        <v>0</v>
      </c>
      <c r="S43" s="13">
        <f t="shared" si="4"/>
        <v>-3.8812339525351458E-5</v>
      </c>
      <c r="T43" s="13">
        <f t="shared" si="4"/>
        <v>1.3597150542117575E-5</v>
      </c>
      <c r="U43" s="13">
        <f t="shared" si="4"/>
        <v>-2.5093066745585091E-6</v>
      </c>
      <c r="V43" s="13">
        <f t="shared" si="4"/>
        <v>1.6258879451003239E-5</v>
      </c>
      <c r="W43" s="13">
        <f t="shared" si="4"/>
        <v>4.6320538096999986E-5</v>
      </c>
      <c r="X43" s="13">
        <f t="shared" si="4"/>
        <v>-3.8426618915898825E-5</v>
      </c>
    </row>
    <row r="45" spans="1:24" x14ac:dyDescent="0.25">
      <c r="O45" s="6" t="s">
        <v>503</v>
      </c>
    </row>
    <row r="46" spans="1:24" ht="45" x14ac:dyDescent="0.25">
      <c r="O46" s="4" t="s">
        <v>68</v>
      </c>
      <c r="P46" s="4" t="s">
        <v>504</v>
      </c>
      <c r="Q46" s="4" t="s">
        <v>505</v>
      </c>
      <c r="R46" s="4" t="s">
        <v>506</v>
      </c>
    </row>
    <row r="47" spans="1:24" x14ac:dyDescent="0.25">
      <c r="O47" s="10">
        <v>1</v>
      </c>
      <c r="P47" s="10">
        <v>2.0169999999999999</v>
      </c>
      <c r="Q47" s="10">
        <f t="shared" ref="Q47:Q81" si="5">K5</f>
        <v>2.0170624029660891</v>
      </c>
      <c r="R47" s="10">
        <f t="shared" ref="R47:R81" si="6">Q47-P47</f>
        <v>6.2402966089170064E-5</v>
      </c>
    </row>
    <row r="48" spans="1:24" x14ac:dyDescent="0.25">
      <c r="O48" s="10">
        <v>2</v>
      </c>
      <c r="P48" s="10">
        <v>7.1379999999999999</v>
      </c>
      <c r="Q48" s="10">
        <f t="shared" si="5"/>
        <v>7.1376730573723011</v>
      </c>
      <c r="R48" s="10">
        <f t="shared" si="6"/>
        <v>-3.2694262769883409E-4</v>
      </c>
    </row>
    <row r="49" spans="15:18" x14ac:dyDescent="0.25">
      <c r="O49" s="10">
        <v>3</v>
      </c>
      <c r="P49" s="10">
        <v>3.7650000000000001</v>
      </c>
      <c r="Q49" s="10">
        <f t="shared" si="5"/>
        <v>3.7646935383160387</v>
      </c>
      <c r="R49" s="10">
        <f t="shared" si="6"/>
        <v>-3.0646168396142315E-4</v>
      </c>
    </row>
    <row r="50" spans="15:18" x14ac:dyDescent="0.25">
      <c r="O50" s="10">
        <v>4</v>
      </c>
      <c r="P50" s="10">
        <v>4.5330000000000004</v>
      </c>
      <c r="Q50" s="10">
        <f t="shared" si="5"/>
        <v>4.5328017028289374</v>
      </c>
      <c r="R50" s="10">
        <f t="shared" si="6"/>
        <v>-1.9829717106301104E-4</v>
      </c>
    </row>
    <row r="51" spans="15:18" x14ac:dyDescent="0.25">
      <c r="O51" s="10">
        <v>5</v>
      </c>
      <c r="P51" s="10">
        <v>4.4649999999999999</v>
      </c>
      <c r="Q51" s="10">
        <f t="shared" si="5"/>
        <v>4.4646043942613822</v>
      </c>
      <c r="R51" s="10">
        <f t="shared" si="6"/>
        <v>-3.956057386176326E-4</v>
      </c>
    </row>
    <row r="52" spans="15:18" x14ac:dyDescent="0.25">
      <c r="O52" s="10">
        <v>6</v>
      </c>
      <c r="P52" s="10">
        <v>6.9370000000000003</v>
      </c>
      <c r="Q52" s="10">
        <f t="shared" si="5"/>
        <v>6.9373667430703296</v>
      </c>
      <c r="R52" s="10">
        <f t="shared" si="6"/>
        <v>3.6674307032935616E-4</v>
      </c>
    </row>
    <row r="53" spans="15:18" x14ac:dyDescent="0.25">
      <c r="O53" s="10">
        <v>7</v>
      </c>
      <c r="P53" s="10">
        <v>4.2380000000000004</v>
      </c>
      <c r="Q53" s="10">
        <f t="shared" si="5"/>
        <v>4.2377584389856029</v>
      </c>
      <c r="R53" s="10">
        <f t="shared" si="6"/>
        <v>-2.4156101439753996E-4</v>
      </c>
    </row>
    <row r="54" spans="15:18" x14ac:dyDescent="0.25">
      <c r="O54" s="10">
        <v>8</v>
      </c>
      <c r="P54" s="10">
        <v>1.639</v>
      </c>
      <c r="Q54" s="10">
        <f t="shared" si="5"/>
        <v>1.6385280776637701</v>
      </c>
      <c r="R54" s="10">
        <f t="shared" si="6"/>
        <v>-4.7192233622994628E-4</v>
      </c>
    </row>
    <row r="55" spans="15:18" x14ac:dyDescent="0.25">
      <c r="O55" s="10">
        <v>9</v>
      </c>
      <c r="P55" s="10">
        <v>5.1100000000000003</v>
      </c>
      <c r="Q55" s="10">
        <f t="shared" si="5"/>
        <v>5.1101682587332533</v>
      </c>
      <c r="R55" s="10">
        <f t="shared" si="6"/>
        <v>1.6825873325299057E-4</v>
      </c>
    </row>
    <row r="56" spans="15:18" x14ac:dyDescent="0.25">
      <c r="O56" s="10">
        <v>10</v>
      </c>
      <c r="P56" s="10">
        <v>3.8039999999999998</v>
      </c>
      <c r="Q56" s="10">
        <f t="shared" si="5"/>
        <v>3.8042819157485601</v>
      </c>
      <c r="R56" s="10">
        <f t="shared" si="6"/>
        <v>2.8191574856029078E-4</v>
      </c>
    </row>
    <row r="57" spans="15:18" x14ac:dyDescent="0.25">
      <c r="O57" s="10">
        <v>11</v>
      </c>
      <c r="P57" s="10">
        <v>5.5949999999999998</v>
      </c>
      <c r="Q57" s="10">
        <f t="shared" si="5"/>
        <v>5.5950067831682375</v>
      </c>
      <c r="R57" s="10">
        <f t="shared" si="6"/>
        <v>6.7831682377672564E-6</v>
      </c>
    </row>
    <row r="58" spans="15:18" x14ac:dyDescent="0.25">
      <c r="O58" s="10">
        <v>12</v>
      </c>
      <c r="P58" s="10">
        <v>1.9019999999999999</v>
      </c>
      <c r="Q58" s="10">
        <f t="shared" si="5"/>
        <v>1.9021616400445069</v>
      </c>
      <c r="R58" s="10">
        <f t="shared" si="6"/>
        <v>1.6164004450702762E-4</v>
      </c>
    </row>
    <row r="59" spans="15:18" x14ac:dyDescent="0.25">
      <c r="O59" s="10">
        <v>13</v>
      </c>
      <c r="P59" s="10">
        <v>6.5810000000000004</v>
      </c>
      <c r="Q59" s="10">
        <f t="shared" si="5"/>
        <v>6.5809107210696354</v>
      </c>
      <c r="R59" s="10">
        <f t="shared" si="6"/>
        <v>-8.9278930365033204E-5</v>
      </c>
    </row>
    <row r="60" spans="15:18" x14ac:dyDescent="0.25">
      <c r="O60" s="10">
        <v>14</v>
      </c>
      <c r="P60" s="10">
        <v>4.952</v>
      </c>
      <c r="Q60" s="10">
        <f t="shared" si="5"/>
        <v>4.9516386248914657</v>
      </c>
      <c r="R60" s="10">
        <f t="shared" si="6"/>
        <v>-3.6137510853428978E-4</v>
      </c>
    </row>
    <row r="61" spans="15:18" x14ac:dyDescent="0.25">
      <c r="O61" s="10">
        <v>15</v>
      </c>
      <c r="P61" s="10">
        <v>7.0419999999999998</v>
      </c>
      <c r="Q61" s="10">
        <f t="shared" si="5"/>
        <v>7.0420103748583767</v>
      </c>
      <c r="R61" s="10">
        <f t="shared" si="6"/>
        <v>1.0374858376849261E-5</v>
      </c>
    </row>
    <row r="62" spans="15:18" x14ac:dyDescent="0.25">
      <c r="O62" s="10">
        <v>16</v>
      </c>
      <c r="P62" s="10">
        <v>6.1150000000000002</v>
      </c>
      <c r="Q62" s="10">
        <f t="shared" si="5"/>
        <v>6.1154893575195164</v>
      </c>
      <c r="R62" s="10">
        <f t="shared" si="6"/>
        <v>4.893575195161759E-4</v>
      </c>
    </row>
    <row r="63" spans="15:18" x14ac:dyDescent="0.25">
      <c r="O63" s="10">
        <v>17</v>
      </c>
      <c r="P63" s="10">
        <v>3.64</v>
      </c>
      <c r="Q63" s="10">
        <f t="shared" si="5"/>
        <v>3.6396797189736563</v>
      </c>
      <c r="R63" s="10">
        <f t="shared" si="6"/>
        <v>-3.2028102634384936E-4</v>
      </c>
    </row>
    <row r="64" spans="15:18" x14ac:dyDescent="0.25">
      <c r="O64" s="10">
        <v>18</v>
      </c>
      <c r="P64" s="10">
        <v>3.7749999999999999</v>
      </c>
      <c r="Q64" s="10">
        <f t="shared" si="5"/>
        <v>3.7745327816305823</v>
      </c>
      <c r="R64" s="10">
        <f t="shared" si="6"/>
        <v>-4.672183694176546E-4</v>
      </c>
    </row>
    <row r="65" spans="15:18" x14ac:dyDescent="0.25">
      <c r="O65" s="10">
        <v>19</v>
      </c>
      <c r="P65" s="10">
        <v>5.4249999999999998</v>
      </c>
      <c r="Q65" s="10">
        <f t="shared" si="5"/>
        <v>5.4247035255610294</v>
      </c>
      <c r="R65" s="10">
        <f t="shared" si="6"/>
        <v>-2.964744389704066E-4</v>
      </c>
    </row>
    <row r="66" spans="15:18" x14ac:dyDescent="0.25">
      <c r="O66" s="10">
        <v>20</v>
      </c>
      <c r="P66" s="10">
        <v>5.7050000000000001</v>
      </c>
      <c r="Q66" s="10">
        <f t="shared" si="5"/>
        <v>5.7052914081778159</v>
      </c>
      <c r="R66" s="10">
        <f t="shared" si="6"/>
        <v>2.9140817781581063E-4</v>
      </c>
    </row>
    <row r="67" spans="15:18" x14ac:dyDescent="0.25">
      <c r="O67" s="10">
        <v>21</v>
      </c>
      <c r="P67" s="10">
        <v>7.1790000000000003</v>
      </c>
      <c r="Q67" s="10">
        <f t="shared" si="5"/>
        <v>7.1791759247262279</v>
      </c>
      <c r="R67" s="10">
        <f t="shared" si="6"/>
        <v>1.7592472622762756E-4</v>
      </c>
    </row>
    <row r="68" spans="15:18" x14ac:dyDescent="0.25">
      <c r="O68" s="10">
        <v>22</v>
      </c>
      <c r="P68" s="10">
        <v>7.2210000000000001</v>
      </c>
      <c r="Q68" s="10">
        <f t="shared" si="5"/>
        <v>7.2209526051864117</v>
      </c>
      <c r="R68" s="10">
        <f t="shared" si="6"/>
        <v>-4.7394813588397255E-5</v>
      </c>
    </row>
    <row r="69" spans="15:18" x14ac:dyDescent="0.25">
      <c r="O69" s="10">
        <v>23</v>
      </c>
      <c r="P69" s="10">
        <v>5.3410000000000002</v>
      </c>
      <c r="Q69" s="10">
        <f t="shared" si="5"/>
        <v>5.3412124641020453</v>
      </c>
      <c r="R69" s="10">
        <f t="shared" si="6"/>
        <v>2.124641020451179E-4</v>
      </c>
    </row>
    <row r="70" spans="15:18" x14ac:dyDescent="0.25">
      <c r="O70" s="10">
        <v>24</v>
      </c>
      <c r="P70" s="10">
        <v>1.7649999999999999</v>
      </c>
      <c r="Q70" s="10">
        <f t="shared" si="5"/>
        <v>1.7651825738213009</v>
      </c>
      <c r="R70" s="10">
        <f t="shared" si="6"/>
        <v>1.8257382130104638E-4</v>
      </c>
    </row>
    <row r="71" spans="15:18" x14ac:dyDescent="0.25">
      <c r="O71" s="10">
        <v>25</v>
      </c>
      <c r="P71" s="10">
        <v>1.38</v>
      </c>
      <c r="Q71" s="10">
        <f t="shared" si="5"/>
        <v>1.3802049819932545</v>
      </c>
      <c r="R71" s="10">
        <f t="shared" si="6"/>
        <v>2.0498199325458266E-4</v>
      </c>
    </row>
    <row r="72" spans="15:18" x14ac:dyDescent="0.25">
      <c r="O72" s="10">
        <v>26</v>
      </c>
      <c r="P72" s="10">
        <v>4.1870000000000003</v>
      </c>
      <c r="Q72" s="10">
        <f t="shared" si="5"/>
        <v>4.1866452208936886</v>
      </c>
      <c r="R72" s="10">
        <f t="shared" si="6"/>
        <v>-3.5477910631165344E-4</v>
      </c>
    </row>
    <row r="73" spans="15:18" x14ac:dyDescent="0.25">
      <c r="O73" s="10">
        <v>27</v>
      </c>
      <c r="P73" s="10">
        <v>2.8420000000000001</v>
      </c>
      <c r="Q73" s="10">
        <f t="shared" si="5"/>
        <v>2.8418430353871509</v>
      </c>
      <c r="R73" s="10">
        <f t="shared" si="6"/>
        <v>-1.5696461284919749E-4</v>
      </c>
    </row>
    <row r="74" spans="15:18" x14ac:dyDescent="0.25">
      <c r="O74" s="10">
        <v>28</v>
      </c>
      <c r="P74" s="10">
        <v>3.238</v>
      </c>
      <c r="Q74" s="10">
        <f t="shared" si="5"/>
        <v>3.2375856035023034</v>
      </c>
      <c r="R74" s="10">
        <f t="shared" si="6"/>
        <v>-4.1439649769658971E-4</v>
      </c>
    </row>
    <row r="75" spans="15:18" x14ac:dyDescent="0.25">
      <c r="O75" s="10">
        <v>29</v>
      </c>
      <c r="P75" s="10">
        <v>3.8279999999999998</v>
      </c>
      <c r="Q75" s="10">
        <f t="shared" si="5"/>
        <v>3.8277469732885474</v>
      </c>
      <c r="R75" s="10">
        <f t="shared" si="6"/>
        <v>-2.5302671145244204E-4</v>
      </c>
    </row>
    <row r="76" spans="15:18" x14ac:dyDescent="0.25">
      <c r="O76" s="10">
        <v>30</v>
      </c>
      <c r="P76" s="10">
        <v>7.8630000000000004</v>
      </c>
      <c r="Q76" s="10">
        <f t="shared" si="5"/>
        <v>7.8633744154462519</v>
      </c>
      <c r="R76" s="10">
        <f t="shared" si="6"/>
        <v>3.7441544625149703E-4</v>
      </c>
    </row>
    <row r="77" spans="15:18" x14ac:dyDescent="0.25">
      <c r="O77" s="10">
        <v>31</v>
      </c>
      <c r="P77" s="10">
        <v>3.1989999999999998</v>
      </c>
      <c r="Q77" s="10">
        <f t="shared" si="5"/>
        <v>3.1985529799646306</v>
      </c>
      <c r="R77" s="10">
        <f t="shared" si="6"/>
        <v>-4.4702003536922774E-4</v>
      </c>
    </row>
    <row r="78" spans="15:18" x14ac:dyDescent="0.25">
      <c r="O78" s="10">
        <v>32</v>
      </c>
      <c r="P78" s="10">
        <v>3.1539999999999999</v>
      </c>
      <c r="Q78" s="10">
        <f t="shared" si="5"/>
        <v>3.1540945420433184</v>
      </c>
      <c r="R78" s="10">
        <f t="shared" si="6"/>
        <v>9.4542043318490698E-5</v>
      </c>
    </row>
    <row r="79" spans="15:18" x14ac:dyDescent="0.25">
      <c r="O79" s="10">
        <v>33</v>
      </c>
      <c r="P79" s="10">
        <v>5.2069999999999999</v>
      </c>
      <c r="Q79" s="10">
        <f t="shared" si="5"/>
        <v>5.2070736207728068</v>
      </c>
      <c r="R79" s="10">
        <f t="shared" si="6"/>
        <v>7.3620772806926027E-5</v>
      </c>
    </row>
    <row r="80" spans="15:18" x14ac:dyDescent="0.25">
      <c r="O80" s="10">
        <v>34</v>
      </c>
      <c r="P80" s="10">
        <v>6.4340000000000002</v>
      </c>
      <c r="Q80" s="10">
        <f t="shared" si="5"/>
        <v>6.4338808978870112</v>
      </c>
      <c r="R80" s="10">
        <f t="shared" si="6"/>
        <v>-1.1910211298893358E-4</v>
      </c>
    </row>
    <row r="81" spans="15:18" x14ac:dyDescent="0.25">
      <c r="O81" s="10">
        <v>35</v>
      </c>
      <c r="P81" s="10">
        <v>4.7859999999999996</v>
      </c>
      <c r="Q81" s="10">
        <f t="shared" si="5"/>
        <v>4.7861106951439991</v>
      </c>
      <c r="R81" s="10">
        <f t="shared" si="6"/>
        <v>1.1069514399952851E-4</v>
      </c>
    </row>
  </sheetData>
  <pageMargins left="0.75" right="0.75" top="1" bottom="1" header="0.5" footer="0.5"/>
  <pageSetup paperSize="9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0"/>
  <sheetViews>
    <sheetView workbookViewId="0">
      <pane ySplit="4" topLeftCell="A5" activePane="bottomLeft" state="frozen"/>
      <selection pane="bottomLeft" activeCell="T32" sqref="T32"/>
    </sheetView>
  </sheetViews>
  <sheetFormatPr defaultRowHeight="15" x14ac:dyDescent="0.25"/>
  <cols>
    <col min="1" max="1" width="5" customWidth="1"/>
    <col min="2" max="2" width="4" customWidth="1"/>
    <col min="3" max="9" width="6" customWidth="1"/>
    <col min="10" max="11" width="8" customWidth="1"/>
    <col min="12" max="12" width="9" customWidth="1"/>
    <col min="13" max="13" width="8" customWidth="1"/>
    <col min="14" max="14" width="3" customWidth="1"/>
    <col min="15" max="15" width="30" customWidth="1"/>
    <col min="16" max="24" width="10" customWidth="1"/>
  </cols>
  <sheetData>
    <row r="1" spans="1:24" ht="18.75" x14ac:dyDescent="0.3">
      <c r="A1" s="33" t="s">
        <v>507</v>
      </c>
    </row>
    <row r="2" spans="1:24" x14ac:dyDescent="0.25">
      <c r="A2" s="2" t="s">
        <v>508</v>
      </c>
    </row>
    <row r="4" spans="1:24" x14ac:dyDescent="0.25">
      <c r="A4" s="25" t="s">
        <v>68</v>
      </c>
      <c r="B4" s="25" t="s">
        <v>469</v>
      </c>
      <c r="C4" s="25" t="s">
        <v>444</v>
      </c>
      <c r="D4" s="25" t="s">
        <v>451</v>
      </c>
      <c r="E4" s="25" t="s">
        <v>452</v>
      </c>
      <c r="F4" s="25" t="s">
        <v>453</v>
      </c>
      <c r="G4" s="25" t="s">
        <v>447</v>
      </c>
      <c r="H4" s="25" t="s">
        <v>448</v>
      </c>
      <c r="I4" s="25" t="s">
        <v>449</v>
      </c>
      <c r="J4" s="25" t="s">
        <v>446</v>
      </c>
      <c r="K4" s="25" t="s">
        <v>470</v>
      </c>
      <c r="L4" s="25" t="s">
        <v>471</v>
      </c>
      <c r="M4" s="25" t="s">
        <v>472</v>
      </c>
      <c r="N4" s="23"/>
      <c r="O4" s="19" t="s">
        <v>473</v>
      </c>
      <c r="P4" s="23"/>
      <c r="Q4" s="23"/>
      <c r="R4" s="23"/>
      <c r="S4" s="23"/>
      <c r="T4" s="23"/>
      <c r="U4" s="23"/>
      <c r="V4" s="23"/>
      <c r="W4" s="23"/>
      <c r="X4" s="34"/>
    </row>
    <row r="5" spans="1:24" x14ac:dyDescent="0.25">
      <c r="A5" s="27">
        <v>1</v>
      </c>
      <c r="B5" s="27">
        <v>1</v>
      </c>
      <c r="C5" s="27">
        <f>Таблица_наблюдений!A5</f>
        <v>1</v>
      </c>
      <c r="D5" s="27">
        <f>Таблица_наблюдений!I5</f>
        <v>0</v>
      </c>
      <c r="E5" s="27">
        <f>Таблица_наблюдений!J5</f>
        <v>0</v>
      </c>
      <c r="F5" s="27">
        <f>Таблица_наблюдений!K5</f>
        <v>0</v>
      </c>
      <c r="G5" s="27">
        <f>Таблица_наблюдений!U5</f>
        <v>2</v>
      </c>
      <c r="H5" s="27">
        <f>Таблица_наблюдений!V5</f>
        <v>1</v>
      </c>
      <c r="I5" s="27">
        <f>Таблица_наблюдений!W5</f>
        <v>1</v>
      </c>
      <c r="J5" s="27">
        <f>Таблица_наблюдений!T5</f>
        <v>3</v>
      </c>
      <c r="K5" s="42">
        <f t="shared" ref="K5:K39" si="0">$P$13+$Q$13*C5+$S$13*D5+$T$13*E5+$U$13*F5+$V$13*G5+$W$13*H5+$X$13*I5</f>
        <v>3.2401433245066968</v>
      </c>
      <c r="L5" s="42">
        <f t="shared" ref="L5:L39" si="1">J5-K5</f>
        <v>-0.24014332450669684</v>
      </c>
      <c r="M5" s="42">
        <f t="shared" ref="M5:M39" si="2">L5^2</f>
        <v>5.7668816305128705E-2</v>
      </c>
      <c r="N5" s="23"/>
      <c r="O5" s="23"/>
      <c r="P5" s="25" t="s">
        <v>449</v>
      </c>
      <c r="Q5" s="25" t="s">
        <v>448</v>
      </c>
      <c r="R5" s="25" t="s">
        <v>447</v>
      </c>
      <c r="S5" s="25" t="s">
        <v>453</v>
      </c>
      <c r="T5" s="25" t="s">
        <v>452</v>
      </c>
      <c r="U5" s="25" t="s">
        <v>451</v>
      </c>
      <c r="V5" s="25" t="s">
        <v>474</v>
      </c>
      <c r="W5" s="25" t="s">
        <v>475</v>
      </c>
      <c r="X5" s="34"/>
    </row>
    <row r="6" spans="1:24" x14ac:dyDescent="0.25">
      <c r="A6" s="35">
        <v>2</v>
      </c>
      <c r="B6" s="35">
        <v>1</v>
      </c>
      <c r="C6" s="35">
        <f>Таблица_наблюдений!A6</f>
        <v>2</v>
      </c>
      <c r="D6" s="35">
        <f>Таблица_наблюдений!I6</f>
        <v>1</v>
      </c>
      <c r="E6" s="35">
        <f>Таблица_наблюдений!J6</f>
        <v>0</v>
      </c>
      <c r="F6" s="35">
        <f>Таблица_наблюдений!K6</f>
        <v>0</v>
      </c>
      <c r="G6" s="35">
        <f>Таблица_наблюдений!U6</f>
        <v>3</v>
      </c>
      <c r="H6" s="35">
        <f>Таблица_наблюдений!V6</f>
        <v>6</v>
      </c>
      <c r="I6" s="35">
        <f>Таблица_наблюдений!W6</f>
        <v>7</v>
      </c>
      <c r="J6" s="35">
        <f>Таблица_наблюдений!T6</f>
        <v>9</v>
      </c>
      <c r="K6" s="36">
        <f t="shared" si="0"/>
        <v>8.0195995217994867</v>
      </c>
      <c r="L6" s="36">
        <f t="shared" si="1"/>
        <v>0.98040047820051335</v>
      </c>
      <c r="M6" s="36">
        <f t="shared" si="2"/>
        <v>0.9611850976557953</v>
      </c>
      <c r="N6" s="34"/>
      <c r="O6" s="6" t="s">
        <v>476</v>
      </c>
      <c r="P6" s="37">
        <f t="array" ref="P6:W10">IFERROR(LINEST(J5:J39,C5:I39,TRUE,TRUE),"")</f>
        <v>0.52615382893702345</v>
      </c>
      <c r="Q6" s="37">
        <v>0.33170630536055318</v>
      </c>
      <c r="R6" s="37">
        <v>0.53471337737432456</v>
      </c>
      <c r="S6" s="37">
        <v>1.0883331488312729</v>
      </c>
      <c r="T6" s="37">
        <v>-0.18341768012980678</v>
      </c>
      <c r="U6" s="37">
        <v>-0.55479693232737837</v>
      </c>
      <c r="V6" s="37">
        <v>-1.591474817906223E-2</v>
      </c>
      <c r="W6" s="37">
        <v>1.3287711836395333</v>
      </c>
      <c r="X6" s="34"/>
    </row>
    <row r="7" spans="1:24" x14ac:dyDescent="0.25">
      <c r="A7" s="35">
        <v>3</v>
      </c>
      <c r="B7" s="35">
        <v>1</v>
      </c>
      <c r="C7" s="35">
        <f>Таблица_наблюдений!A7</f>
        <v>3</v>
      </c>
      <c r="D7" s="35">
        <f>Таблица_наблюдений!I7</f>
        <v>0</v>
      </c>
      <c r="E7" s="35">
        <f>Таблица_наблюдений!J7</f>
        <v>1</v>
      </c>
      <c r="F7" s="35">
        <f>Таблица_наблюдений!K7</f>
        <v>0</v>
      </c>
      <c r="G7" s="35">
        <f>Таблица_наблюдений!U7</f>
        <v>2</v>
      </c>
      <c r="H7" s="35">
        <f>Таблица_наблюдений!V7</f>
        <v>2</v>
      </c>
      <c r="I7" s="35">
        <f>Таблица_наблюдений!W7</f>
        <v>3</v>
      </c>
      <c r="J7" s="35">
        <f>Таблица_наблюдений!T7</f>
        <v>3</v>
      </c>
      <c r="K7" s="36">
        <f t="shared" si="0"/>
        <v>4.4089101112533662</v>
      </c>
      <c r="L7" s="36">
        <f t="shared" si="1"/>
        <v>-1.4089101112533662</v>
      </c>
      <c r="M7" s="36">
        <f t="shared" si="2"/>
        <v>1.9850277015919726</v>
      </c>
      <c r="N7" s="34"/>
      <c r="O7" s="6" t="s">
        <v>477</v>
      </c>
      <c r="P7" s="37">
        <v>0.21273743403310225</v>
      </c>
      <c r="Q7" s="37">
        <v>0.17048062825688645</v>
      </c>
      <c r="R7" s="37">
        <v>0.19980896812792384</v>
      </c>
      <c r="S7" s="37">
        <v>0.58752792943680165</v>
      </c>
      <c r="T7" s="37">
        <v>0.64020241357907826</v>
      </c>
      <c r="U7" s="37">
        <v>0.74558682136703569</v>
      </c>
      <c r="V7" s="37">
        <v>2.0135366064210541E-2</v>
      </c>
      <c r="W7" s="37">
        <v>0.68780819649865788</v>
      </c>
      <c r="X7" s="34"/>
    </row>
    <row r="8" spans="1:24" x14ac:dyDescent="0.25">
      <c r="A8" s="35">
        <v>4</v>
      </c>
      <c r="B8" s="35">
        <v>1</v>
      </c>
      <c r="C8" s="35">
        <f>Таблица_наблюдений!A8</f>
        <v>4</v>
      </c>
      <c r="D8" s="35">
        <f>Таблица_наблюдений!I8</f>
        <v>0</v>
      </c>
      <c r="E8" s="35">
        <f>Таблица_наблюдений!J8</f>
        <v>0</v>
      </c>
      <c r="F8" s="35">
        <f>Таблица_наблюдений!K8</f>
        <v>1</v>
      </c>
      <c r="G8" s="35">
        <f>Таблица_наблюдений!U8</f>
        <v>3</v>
      </c>
      <c r="H8" s="35">
        <f>Таблица_наблюдений!V8</f>
        <v>1</v>
      </c>
      <c r="I8" s="35">
        <f>Таблица_наблюдений!W8</f>
        <v>2</v>
      </c>
      <c r="J8" s="35">
        <f>Таблица_наблюдений!T8</f>
        <v>7</v>
      </c>
      <c r="K8" s="36">
        <f t="shared" si="0"/>
        <v>5.3415994351121308</v>
      </c>
      <c r="L8" s="36">
        <f t="shared" si="1"/>
        <v>1.6584005648878692</v>
      </c>
      <c r="M8" s="36">
        <f t="shared" si="2"/>
        <v>2.750292433620404</v>
      </c>
      <c r="N8" s="34"/>
      <c r="O8" s="6" t="s">
        <v>478</v>
      </c>
      <c r="P8" s="37">
        <v>0.73090422354214823</v>
      </c>
      <c r="Q8" s="37">
        <v>1.1843627513585908</v>
      </c>
      <c r="R8" s="37" t="str">
        <v/>
      </c>
      <c r="S8" s="37" t="str">
        <v/>
      </c>
      <c r="T8" s="37" t="str">
        <v/>
      </c>
      <c r="U8" s="37" t="str">
        <v/>
      </c>
      <c r="V8" s="37" t="str">
        <v/>
      </c>
      <c r="W8" s="37" t="str">
        <v/>
      </c>
      <c r="X8" s="34"/>
    </row>
    <row r="9" spans="1:24" x14ac:dyDescent="0.25">
      <c r="A9" s="35">
        <v>5</v>
      </c>
      <c r="B9" s="35">
        <v>1</v>
      </c>
      <c r="C9" s="35">
        <f>Таблица_наблюдений!A9</f>
        <v>5</v>
      </c>
      <c r="D9" s="35">
        <f>Таблица_наблюдений!I9</f>
        <v>0</v>
      </c>
      <c r="E9" s="35">
        <f>Таблица_наблюдений!J9</f>
        <v>0</v>
      </c>
      <c r="F9" s="35">
        <f>Таблица_наблюдений!K9</f>
        <v>0</v>
      </c>
      <c r="G9" s="35">
        <f>Таблица_наблюдений!U9</f>
        <v>2</v>
      </c>
      <c r="H9" s="35">
        <f>Таблица_наблюдений!V9</f>
        <v>4</v>
      </c>
      <c r="I9" s="35">
        <f>Таблица_наблюдений!W9</f>
        <v>3</v>
      </c>
      <c r="J9" s="35">
        <f>Таблица_наблюдений!T9</f>
        <v>7</v>
      </c>
      <c r="K9" s="36">
        <f t="shared" si="0"/>
        <v>5.2239109057461546</v>
      </c>
      <c r="L9" s="36">
        <f t="shared" si="1"/>
        <v>1.7760890942538454</v>
      </c>
      <c r="M9" s="36">
        <f t="shared" si="2"/>
        <v>3.1544924707274449</v>
      </c>
      <c r="N9" s="34"/>
      <c r="O9" s="6" t="s">
        <v>479</v>
      </c>
      <c r="P9" s="37">
        <v>10.476574705856493</v>
      </c>
      <c r="Q9" s="37">
        <v>27</v>
      </c>
      <c r="R9" s="37" t="str">
        <v/>
      </c>
      <c r="S9" s="37" t="str">
        <v/>
      </c>
      <c r="T9" s="37" t="str">
        <v/>
      </c>
      <c r="U9" s="37" t="str">
        <v/>
      </c>
      <c r="V9" s="37" t="str">
        <v/>
      </c>
      <c r="W9" s="37" t="str">
        <v/>
      </c>
      <c r="X9" s="34"/>
    </row>
    <row r="10" spans="1:24" x14ac:dyDescent="0.25">
      <c r="A10" s="35">
        <v>6</v>
      </c>
      <c r="B10" s="35">
        <v>1</v>
      </c>
      <c r="C10" s="35">
        <f>Таблица_наблюдений!A10</f>
        <v>6</v>
      </c>
      <c r="D10" s="35">
        <f>Таблица_наблюдений!I10</f>
        <v>1</v>
      </c>
      <c r="E10" s="35">
        <f>Таблица_наблюдений!J10</f>
        <v>0</v>
      </c>
      <c r="F10" s="35">
        <f>Таблица_наблюдений!K10</f>
        <v>0</v>
      </c>
      <c r="G10" s="35">
        <f>Таблица_наблюдений!U10</f>
        <v>2</v>
      </c>
      <c r="H10" s="35">
        <f>Таблица_наблюдений!V10</f>
        <v>7</v>
      </c>
      <c r="I10" s="35">
        <f>Таблица_наблюдений!W10</f>
        <v>7</v>
      </c>
      <c r="J10" s="35">
        <f>Таблица_наблюдений!T10</f>
        <v>8</v>
      </c>
      <c r="K10" s="36">
        <f t="shared" si="0"/>
        <v>7.7529334570694672</v>
      </c>
      <c r="L10" s="36">
        <f t="shared" si="1"/>
        <v>0.24706654293053276</v>
      </c>
      <c r="M10" s="36">
        <f t="shared" si="2"/>
        <v>6.1041876635644789E-2</v>
      </c>
      <c r="N10" s="34"/>
      <c r="O10" s="6" t="s">
        <v>480</v>
      </c>
      <c r="P10" s="37">
        <v>102.86954871910351</v>
      </c>
      <c r="Q10" s="37">
        <v>37.873308423753656</v>
      </c>
      <c r="R10" s="37" t="str">
        <v/>
      </c>
      <c r="S10" s="37" t="str">
        <v/>
      </c>
      <c r="T10" s="37" t="str">
        <v/>
      </c>
      <c r="U10" s="37" t="str">
        <v/>
      </c>
      <c r="V10" s="37" t="str">
        <v/>
      </c>
      <c r="W10" s="37" t="str">
        <v/>
      </c>
      <c r="X10" s="34"/>
    </row>
    <row r="11" spans="1:24" x14ac:dyDescent="0.25">
      <c r="A11" s="35">
        <v>7</v>
      </c>
      <c r="B11" s="35">
        <v>1</v>
      </c>
      <c r="C11" s="35">
        <f>Таблица_наблюдений!A12</f>
        <v>8</v>
      </c>
      <c r="D11" s="35">
        <f>Таблица_наблюдений!I12</f>
        <v>0</v>
      </c>
      <c r="E11" s="35">
        <f>Таблица_наблюдений!J12</f>
        <v>0</v>
      </c>
      <c r="F11" s="35">
        <f>Таблица_наблюдений!K12</f>
        <v>1</v>
      </c>
      <c r="G11" s="35">
        <f>Таблица_наблюдений!U12</f>
        <v>4</v>
      </c>
      <c r="H11" s="35">
        <f>Таблица_наблюдений!V12</f>
        <v>1</v>
      </c>
      <c r="I11" s="35">
        <f>Таблица_наблюдений!W12</f>
        <v>0</v>
      </c>
      <c r="J11" s="35">
        <f>Таблица_наблюдений!T12</f>
        <v>6</v>
      </c>
      <c r="K11" s="36">
        <f t="shared" si="0"/>
        <v>4.7603461618961607</v>
      </c>
      <c r="L11" s="36">
        <f t="shared" si="1"/>
        <v>1.2396538381038393</v>
      </c>
      <c r="M11" s="36">
        <f t="shared" si="2"/>
        <v>1.5367416383255799</v>
      </c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</row>
    <row r="12" spans="1:24" x14ac:dyDescent="0.25">
      <c r="A12" s="35">
        <v>8</v>
      </c>
      <c r="B12" s="35">
        <v>1</v>
      </c>
      <c r="C12" s="35">
        <f>Таблица_наблюдений!A13</f>
        <v>9</v>
      </c>
      <c r="D12" s="35">
        <f>Таблица_наблюдений!I13</f>
        <v>0</v>
      </c>
      <c r="E12" s="35">
        <f>Таблица_наблюдений!J13</f>
        <v>0</v>
      </c>
      <c r="F12" s="35">
        <f>Таблица_наблюдений!K13</f>
        <v>0</v>
      </c>
      <c r="G12" s="35">
        <f>Таблица_наблюдений!U13</f>
        <v>1</v>
      </c>
      <c r="H12" s="35">
        <f>Таблица_наблюдений!V13</f>
        <v>1</v>
      </c>
      <c r="I12" s="35">
        <f>Таблица_наблюдений!W13</f>
        <v>0</v>
      </c>
      <c r="J12" s="35">
        <f>Таблица_наблюдений!T13</f>
        <v>2</v>
      </c>
      <c r="K12" s="36">
        <f t="shared" si="0"/>
        <v>2.0519581327628513</v>
      </c>
      <c r="L12" s="36">
        <f t="shared" si="1"/>
        <v>-5.1958132762851328E-2</v>
      </c>
      <c r="M12" s="36">
        <f t="shared" si="2"/>
        <v>2.6996475602020847E-3</v>
      </c>
      <c r="N12" s="34"/>
      <c r="O12" s="3" t="s">
        <v>481</v>
      </c>
      <c r="P12" s="25" t="s">
        <v>475</v>
      </c>
      <c r="Q12" s="25" t="s">
        <v>474</v>
      </c>
      <c r="R12" s="25" t="s">
        <v>450</v>
      </c>
      <c r="S12" s="25" t="s">
        <v>451</v>
      </c>
      <c r="T12" s="25" t="s">
        <v>452</v>
      </c>
      <c r="U12" s="25" t="s">
        <v>453</v>
      </c>
      <c r="V12" s="25" t="s">
        <v>447</v>
      </c>
      <c r="W12" s="25" t="s">
        <v>448</v>
      </c>
      <c r="X12" s="25" t="s">
        <v>449</v>
      </c>
    </row>
    <row r="13" spans="1:24" x14ac:dyDescent="0.25">
      <c r="A13" s="35">
        <v>9</v>
      </c>
      <c r="B13" s="35">
        <v>1</v>
      </c>
      <c r="C13" s="35">
        <f>Таблица_наблюдений!A14</f>
        <v>10</v>
      </c>
      <c r="D13" s="35">
        <f>Таблица_наблюдений!I14</f>
        <v>1</v>
      </c>
      <c r="E13" s="35">
        <f>Таблица_наблюдений!J14</f>
        <v>0</v>
      </c>
      <c r="F13" s="35">
        <f>Таблица_наблюдений!K14</f>
        <v>0</v>
      </c>
      <c r="G13" s="35">
        <f>Таблица_наблюдений!U14</f>
        <v>2</v>
      </c>
      <c r="H13" s="35">
        <f>Таблица_наблюдений!V14</f>
        <v>4</v>
      </c>
      <c r="I13" s="35">
        <f>Таблица_наблюдений!W14</f>
        <v>5</v>
      </c>
      <c r="J13" s="35">
        <f>Таблица_наблюдений!T14</f>
        <v>5</v>
      </c>
      <c r="K13" s="36">
        <f t="shared" si="0"/>
        <v>5.6418478903975116</v>
      </c>
      <c r="L13" s="36">
        <f t="shared" si="1"/>
        <v>-0.64184789039751156</v>
      </c>
      <c r="M13" s="36">
        <f t="shared" si="2"/>
        <v>0.41196871440773603</v>
      </c>
      <c r="N13" s="34"/>
      <c r="O13" s="6" t="s">
        <v>482</v>
      </c>
      <c r="P13" s="12">
        <f>W6</f>
        <v>1.3287711836395333</v>
      </c>
      <c r="Q13" s="12">
        <f>V6</f>
        <v>-1.591474817906223E-2</v>
      </c>
      <c r="R13" s="12">
        <v>0</v>
      </c>
      <c r="S13" s="12">
        <f>U6</f>
        <v>-0.55479693232737837</v>
      </c>
      <c r="T13" s="12">
        <f>T6</f>
        <v>-0.18341768012980678</v>
      </c>
      <c r="U13" s="12">
        <f>S6</f>
        <v>1.0883331488312729</v>
      </c>
      <c r="V13" s="12">
        <f>R6</f>
        <v>0.53471337737432456</v>
      </c>
      <c r="W13" s="12">
        <f>Q6</f>
        <v>0.33170630536055318</v>
      </c>
      <c r="X13" s="12">
        <f>P6</f>
        <v>0.52615382893702345</v>
      </c>
    </row>
    <row r="14" spans="1:24" x14ac:dyDescent="0.25">
      <c r="A14" s="35">
        <v>10</v>
      </c>
      <c r="B14" s="35">
        <v>1</v>
      </c>
      <c r="C14" s="35">
        <f>Таблица_наблюдений!A15</f>
        <v>11</v>
      </c>
      <c r="D14" s="35">
        <f>Таблица_наблюдений!I15</f>
        <v>0</v>
      </c>
      <c r="E14" s="35">
        <f>Таблица_наблюдений!J15</f>
        <v>1</v>
      </c>
      <c r="F14" s="35">
        <f>Таблица_наблюдений!K15</f>
        <v>0</v>
      </c>
      <c r="G14" s="35">
        <f>Таблица_наблюдений!U15</f>
        <v>1</v>
      </c>
      <c r="H14" s="35">
        <f>Таблица_наблюдений!V15</f>
        <v>5</v>
      </c>
      <c r="I14" s="35">
        <f>Таблица_наблюдений!W15</f>
        <v>2</v>
      </c>
      <c r="J14" s="35">
        <f>Таблица_наблюдений!T15</f>
        <v>5</v>
      </c>
      <c r="K14" s="36">
        <f t="shared" si="0"/>
        <v>4.2158438355911789</v>
      </c>
      <c r="L14" s="36">
        <f t="shared" si="1"/>
        <v>0.78415616440882108</v>
      </c>
      <c r="M14" s="36">
        <f t="shared" si="2"/>
        <v>0.61490089018035399</v>
      </c>
      <c r="N14" s="34"/>
      <c r="O14" s="6" t="s">
        <v>477</v>
      </c>
      <c r="P14" s="38">
        <f>W7</f>
        <v>0.68780819649865788</v>
      </c>
      <c r="Q14" s="38">
        <f>V7</f>
        <v>2.0135366064210541E-2</v>
      </c>
      <c r="R14" s="38" t="s">
        <v>483</v>
      </c>
      <c r="S14" s="38">
        <f>U7</f>
        <v>0.74558682136703569</v>
      </c>
      <c r="T14" s="38">
        <f>T7</f>
        <v>0.64020241357907826</v>
      </c>
      <c r="U14" s="38">
        <f>S7</f>
        <v>0.58752792943680165</v>
      </c>
      <c r="V14" s="38">
        <f>R7</f>
        <v>0.19980896812792384</v>
      </c>
      <c r="W14" s="38">
        <f>Q7</f>
        <v>0.17048062825688645</v>
      </c>
      <c r="X14" s="38">
        <f>P7</f>
        <v>0.21273743403310225</v>
      </c>
    </row>
    <row r="15" spans="1:24" x14ac:dyDescent="0.25">
      <c r="A15" s="35">
        <v>11</v>
      </c>
      <c r="B15" s="35">
        <v>1</v>
      </c>
      <c r="C15" s="35">
        <f>Таблица_наблюдений!A16</f>
        <v>12</v>
      </c>
      <c r="D15" s="35">
        <f>Таблица_наблюдений!I16</f>
        <v>0</v>
      </c>
      <c r="E15" s="35">
        <f>Таблица_наблюдений!J16</f>
        <v>0</v>
      </c>
      <c r="F15" s="35">
        <f>Таблица_наблюдений!K16</f>
        <v>1</v>
      </c>
      <c r="G15" s="35">
        <f>Таблица_наблюдений!U16</f>
        <v>4</v>
      </c>
      <c r="H15" s="35">
        <f>Таблица_наблюдений!V16</f>
        <v>1</v>
      </c>
      <c r="I15" s="35">
        <f>Таблица_наблюдений!W16</f>
        <v>3</v>
      </c>
      <c r="J15" s="35">
        <f>Таблица_наблюдений!T16</f>
        <v>5</v>
      </c>
      <c r="K15" s="36">
        <f t="shared" si="0"/>
        <v>6.2751486559909821</v>
      </c>
      <c r="L15" s="36">
        <f t="shared" si="1"/>
        <v>-1.2751486559909821</v>
      </c>
      <c r="M15" s="36">
        <f t="shared" si="2"/>
        <v>1.626004094875608</v>
      </c>
      <c r="N15" s="34"/>
      <c r="O15" s="6" t="s">
        <v>484</v>
      </c>
      <c r="P15" s="38">
        <f>P13/P14</f>
        <v>1.9318920454913859</v>
      </c>
      <c r="Q15" s="38">
        <f>Q13/Q14</f>
        <v>-0.79038782450296652</v>
      </c>
      <c r="R15" s="38" t="s">
        <v>483</v>
      </c>
      <c r="S15" s="38">
        <f t="shared" ref="S15:X15" si="3">S13/S14</f>
        <v>-0.74410775033571075</v>
      </c>
      <c r="T15" s="38">
        <f t="shared" si="3"/>
        <v>-0.28649951365288145</v>
      </c>
      <c r="U15" s="38">
        <f t="shared" si="3"/>
        <v>1.8523938936392998</v>
      </c>
      <c r="V15" s="38">
        <f t="shared" si="3"/>
        <v>2.676123010814933</v>
      </c>
      <c r="W15" s="38">
        <f t="shared" si="3"/>
        <v>1.9457125935782333</v>
      </c>
      <c r="X15" s="38">
        <f t="shared" si="3"/>
        <v>2.4732545606202674</v>
      </c>
    </row>
    <row r="16" spans="1:24" x14ac:dyDescent="0.25">
      <c r="A16" s="5">
        <v>12</v>
      </c>
      <c r="B16" s="5">
        <v>1</v>
      </c>
      <c r="C16" s="5">
        <f>Таблица_наблюдений!A17</f>
        <v>13</v>
      </c>
      <c r="D16" s="5">
        <f>Таблица_наблюдений!I17</f>
        <v>0</v>
      </c>
      <c r="E16" s="5">
        <f>Таблица_наблюдений!J17</f>
        <v>0</v>
      </c>
      <c r="F16" s="5">
        <f>Таблица_наблюдений!K17</f>
        <v>0</v>
      </c>
      <c r="G16" s="5">
        <f>Таблица_наблюдений!U17</f>
        <v>4</v>
      </c>
      <c r="H16" s="5">
        <f>Таблица_наблюдений!V17</f>
        <v>2</v>
      </c>
      <c r="I16" s="5">
        <f>Таблица_наблюдений!W17</f>
        <v>2</v>
      </c>
      <c r="J16" s="5">
        <f>Таблица_наблюдений!T17</f>
        <v>4</v>
      </c>
      <c r="K16" s="10">
        <f t="shared" si="0"/>
        <v>4.9764532354041755</v>
      </c>
      <c r="L16" s="10">
        <f t="shared" si="1"/>
        <v>-0.9764532354041755</v>
      </c>
      <c r="M16" s="10">
        <f t="shared" si="2"/>
        <v>0.95346092093128221</v>
      </c>
      <c r="O16" t="s">
        <v>485</v>
      </c>
      <c r="W16" s="14">
        <f>_xlfn.T.INV.2T(0.05,27)</f>
        <v>2.0518305164802859</v>
      </c>
    </row>
    <row r="17" spans="1:16" x14ac:dyDescent="0.25">
      <c r="A17" s="5">
        <v>13</v>
      </c>
      <c r="B17" s="5">
        <v>1</v>
      </c>
      <c r="C17" s="5">
        <f>Таблица_наблюдений!A18</f>
        <v>14</v>
      </c>
      <c r="D17" s="5">
        <f>Таблица_наблюдений!I18</f>
        <v>1</v>
      </c>
      <c r="E17" s="5">
        <f>Таблица_наблюдений!J18</f>
        <v>0</v>
      </c>
      <c r="F17" s="5">
        <f>Таблица_наблюдений!K18</f>
        <v>0</v>
      </c>
      <c r="G17" s="5">
        <f>Таблица_наблюдений!U18</f>
        <v>2</v>
      </c>
      <c r="H17" s="5">
        <f>Таблица_наблюдений!V18</f>
        <v>4</v>
      </c>
      <c r="I17" s="5">
        <f>Таблица_наблюдений!W18</f>
        <v>3</v>
      </c>
      <c r="J17" s="5">
        <f>Таблица_наблюдений!T18</f>
        <v>4</v>
      </c>
      <c r="K17" s="10">
        <f t="shared" si="0"/>
        <v>4.5258812398072159</v>
      </c>
      <c r="L17" s="10">
        <f t="shared" si="1"/>
        <v>-0.52588123980721591</v>
      </c>
      <c r="M17" s="10">
        <f t="shared" si="2"/>
        <v>0.27655107838117454</v>
      </c>
    </row>
    <row r="18" spans="1:16" x14ac:dyDescent="0.25">
      <c r="A18" s="5">
        <v>14</v>
      </c>
      <c r="B18" s="5">
        <v>1</v>
      </c>
      <c r="C18" s="5">
        <f>Таблица_наблюдений!A19</f>
        <v>15</v>
      </c>
      <c r="D18" s="5">
        <f>Таблица_наблюдений!I19</f>
        <v>0</v>
      </c>
      <c r="E18" s="5">
        <f>Таблица_наблюдений!J19</f>
        <v>1</v>
      </c>
      <c r="F18" s="5">
        <f>Таблица_наблюдений!K19</f>
        <v>0</v>
      </c>
      <c r="G18" s="5">
        <f>Таблица_наблюдений!U19</f>
        <v>2</v>
      </c>
      <c r="H18" s="5">
        <f>Таблица_наблюдений!V19</f>
        <v>4</v>
      </c>
      <c r="I18" s="5">
        <f>Таблица_наблюдений!W19</f>
        <v>4</v>
      </c>
      <c r="J18" s="5">
        <f>Таблица_наблюдений!T19</f>
        <v>6</v>
      </c>
      <c r="K18" s="10">
        <f t="shared" si="0"/>
        <v>5.4074995727627488</v>
      </c>
      <c r="L18" s="10">
        <f t="shared" si="1"/>
        <v>0.59250042723725116</v>
      </c>
      <c r="M18" s="10">
        <f t="shared" si="2"/>
        <v>0.35105675627632515</v>
      </c>
      <c r="O18" s="3" t="s">
        <v>486</v>
      </c>
    </row>
    <row r="19" spans="1:16" x14ac:dyDescent="0.25">
      <c r="A19" s="5">
        <v>15</v>
      </c>
      <c r="B19" s="5">
        <v>1</v>
      </c>
      <c r="C19" s="5">
        <f>Таблица_наблюдений!A20</f>
        <v>16</v>
      </c>
      <c r="D19" s="5">
        <f>Таблица_наблюдений!I20</f>
        <v>0</v>
      </c>
      <c r="E19" s="5">
        <f>Таблица_наблюдений!J20</f>
        <v>0</v>
      </c>
      <c r="F19" s="5">
        <f>Таблица_наблюдений!K20</f>
        <v>1</v>
      </c>
      <c r="G19" s="5">
        <f>Таблица_наблюдений!U20</f>
        <v>5</v>
      </c>
      <c r="H19" s="5">
        <f>Таблица_наблюдений!V20</f>
        <v>5</v>
      </c>
      <c r="I19" s="5">
        <f>Таблица_наблюдений!W20</f>
        <v>2</v>
      </c>
      <c r="J19" s="5">
        <f>Таблица_наблюдений!T20</f>
        <v>7</v>
      </c>
      <c r="K19" s="10">
        <f t="shared" si="0"/>
        <v>7.5468744331542457</v>
      </c>
      <c r="L19" s="10">
        <f t="shared" si="1"/>
        <v>-0.54687443315424566</v>
      </c>
      <c r="M19" s="10">
        <f t="shared" si="2"/>
        <v>0.29907164563777749</v>
      </c>
      <c r="O19" s="3" t="s">
        <v>475</v>
      </c>
      <c r="P19" s="11">
        <f t="array" ref="P19:P26">MMULT(MINVERSE(MMULT(TRANSPOSE(B5:I39),B5:I39)),MMULT(TRANSPOSE(B5:I39),J5:J39))</f>
        <v>1.328771183639516</v>
      </c>
    </row>
    <row r="20" spans="1:16" x14ac:dyDescent="0.25">
      <c r="A20" s="5">
        <v>16</v>
      </c>
      <c r="B20" s="5">
        <v>1</v>
      </c>
      <c r="C20" s="5">
        <f>Таблица_наблюдений!A21</f>
        <v>17</v>
      </c>
      <c r="D20" s="5">
        <f>Таблица_наблюдений!I21</f>
        <v>0</v>
      </c>
      <c r="E20" s="5">
        <f>Таблица_наблюдений!J21</f>
        <v>0</v>
      </c>
      <c r="F20" s="5">
        <f>Таблица_наблюдений!K21</f>
        <v>0</v>
      </c>
      <c r="G20" s="5">
        <f>Таблица_наблюдений!U21</f>
        <v>4</v>
      </c>
      <c r="H20" s="5">
        <f>Таблица_наблюдений!V21</f>
        <v>4</v>
      </c>
      <c r="I20" s="5">
        <f>Таблица_наблюдений!W21</f>
        <v>4</v>
      </c>
      <c r="J20" s="5">
        <f>Таблица_наблюдений!T21</f>
        <v>5</v>
      </c>
      <c r="K20" s="10">
        <f t="shared" si="0"/>
        <v>6.6285145112830808</v>
      </c>
      <c r="L20" s="10">
        <f t="shared" si="1"/>
        <v>-1.6285145112830808</v>
      </c>
      <c r="M20" s="10">
        <f t="shared" si="2"/>
        <v>2.6520595134595712</v>
      </c>
      <c r="O20" s="3" t="s">
        <v>474</v>
      </c>
      <c r="P20" s="11">
        <v>-1.59147481790618E-2</v>
      </c>
    </row>
    <row r="21" spans="1:16" x14ac:dyDescent="0.25">
      <c r="A21" s="5">
        <v>17</v>
      </c>
      <c r="B21" s="5">
        <v>1</v>
      </c>
      <c r="C21" s="5">
        <f>Таблица_наблюдений!A22</f>
        <v>18</v>
      </c>
      <c r="D21" s="5">
        <f>Таблица_наблюдений!I22</f>
        <v>1</v>
      </c>
      <c r="E21" s="5">
        <f>Таблица_наблюдений!J22</f>
        <v>0</v>
      </c>
      <c r="F21" s="5">
        <f>Таблица_наблюдений!K22</f>
        <v>0</v>
      </c>
      <c r="G21" s="5">
        <f>Таблица_наблюдений!U22</f>
        <v>2</v>
      </c>
      <c r="H21" s="5">
        <f>Таблица_наблюдений!V22</f>
        <v>2</v>
      </c>
      <c r="I21" s="5">
        <f>Таблица_наблюдений!W22</f>
        <v>3</v>
      </c>
      <c r="J21" s="5">
        <f>Таблица_наблюдений!T22</f>
        <v>3</v>
      </c>
      <c r="K21" s="10">
        <f t="shared" si="0"/>
        <v>3.7988096363698607</v>
      </c>
      <c r="L21" s="10">
        <f t="shared" si="1"/>
        <v>-0.79880963636986069</v>
      </c>
      <c r="M21" s="10">
        <f t="shared" si="2"/>
        <v>0.63809683515734905</v>
      </c>
      <c r="O21" s="3" t="s">
        <v>451</v>
      </c>
      <c r="P21" s="11">
        <v>-0.55479693232737759</v>
      </c>
    </row>
    <row r="22" spans="1:16" x14ac:dyDescent="0.25">
      <c r="A22" s="5">
        <v>18</v>
      </c>
      <c r="B22" s="5">
        <v>1</v>
      </c>
      <c r="C22" s="5">
        <f>Таблица_наблюдений!A23</f>
        <v>19</v>
      </c>
      <c r="D22" s="5">
        <f>Таблица_наблюдений!I23</f>
        <v>0</v>
      </c>
      <c r="E22" s="5">
        <f>Таблица_наблюдений!J23</f>
        <v>1</v>
      </c>
      <c r="F22" s="5">
        <f>Таблица_наблюдений!K23</f>
        <v>0</v>
      </c>
      <c r="G22" s="5">
        <f>Таблица_наблюдений!U23</f>
        <v>2</v>
      </c>
      <c r="H22" s="5">
        <f>Таблица_наблюдений!V23</f>
        <v>3</v>
      </c>
      <c r="I22" s="5">
        <f>Таблица_наблюдений!W23</f>
        <v>2</v>
      </c>
      <c r="J22" s="5">
        <f>Таблица_наблюдений!T23</f>
        <v>4</v>
      </c>
      <c r="K22" s="10">
        <f t="shared" si="0"/>
        <v>3.9598266168118998</v>
      </c>
      <c r="L22" s="10">
        <f t="shared" si="1"/>
        <v>4.0173383188100154E-2</v>
      </c>
      <c r="M22" s="10">
        <f t="shared" si="2"/>
        <v>1.613900716777928E-3</v>
      </c>
      <c r="O22" s="3" t="s">
        <v>452</v>
      </c>
      <c r="P22" s="11">
        <v>-0.18341768012980175</v>
      </c>
    </row>
    <row r="23" spans="1:16" x14ac:dyDescent="0.25">
      <c r="A23" s="5">
        <v>19</v>
      </c>
      <c r="B23" s="5">
        <v>1</v>
      </c>
      <c r="C23" s="5">
        <f>Таблица_наблюдений!A24</f>
        <v>20</v>
      </c>
      <c r="D23" s="5">
        <f>Таблица_наблюдений!I24</f>
        <v>0</v>
      </c>
      <c r="E23" s="5">
        <f>Таблица_наблюдений!J24</f>
        <v>0</v>
      </c>
      <c r="F23" s="5">
        <f>Таблица_наблюдений!K24</f>
        <v>1</v>
      </c>
      <c r="G23" s="5">
        <f>Таблица_наблюдений!U24</f>
        <v>3</v>
      </c>
      <c r="H23" s="5">
        <f>Таблица_наблюдений!V24</f>
        <v>3</v>
      </c>
      <c r="I23" s="5">
        <f>Таблица_наблюдений!W24</f>
        <v>1</v>
      </c>
      <c r="J23" s="5">
        <f>Таблица_наблюдений!T24</f>
        <v>6</v>
      </c>
      <c r="K23" s="10">
        <f t="shared" si="0"/>
        <v>5.2242222460312187</v>
      </c>
      <c r="L23" s="10">
        <f t="shared" si="1"/>
        <v>0.77577775396878135</v>
      </c>
      <c r="M23" s="10">
        <f t="shared" si="2"/>
        <v>0.60183112355284707</v>
      </c>
      <c r="O23" s="3" t="s">
        <v>453</v>
      </c>
      <c r="P23" s="11">
        <v>1.0883331488312793</v>
      </c>
    </row>
    <row r="24" spans="1:16" x14ac:dyDescent="0.25">
      <c r="A24" s="5">
        <v>20</v>
      </c>
      <c r="B24" s="5">
        <v>1</v>
      </c>
      <c r="C24" s="5">
        <f>Таблица_наблюдений!A25</f>
        <v>21</v>
      </c>
      <c r="D24" s="5">
        <f>Таблица_наблюдений!I25</f>
        <v>0</v>
      </c>
      <c r="E24" s="5">
        <f>Таблица_наблюдений!J25</f>
        <v>0</v>
      </c>
      <c r="F24" s="5">
        <f>Таблица_наблюдений!K25</f>
        <v>0</v>
      </c>
      <c r="G24" s="5">
        <f>Таблица_наблюдений!U25</f>
        <v>4</v>
      </c>
      <c r="H24" s="5">
        <f>Таблица_наблюдений!V25</f>
        <v>4</v>
      </c>
      <c r="I24" s="5">
        <f>Таблица_наблюдений!W25</f>
        <v>3</v>
      </c>
      <c r="J24" s="5">
        <f>Таблица_наблюдений!T25</f>
        <v>6</v>
      </c>
      <c r="K24" s="10">
        <f t="shared" si="0"/>
        <v>6.038701689629808</v>
      </c>
      <c r="L24" s="10">
        <f t="shared" si="1"/>
        <v>-3.8701689629808023E-2</v>
      </c>
      <c r="M24" s="10">
        <f t="shared" si="2"/>
        <v>1.4978207802019898E-3</v>
      </c>
      <c r="O24" s="3" t="s">
        <v>447</v>
      </c>
      <c r="P24" s="11">
        <v>0.53471337737432467</v>
      </c>
    </row>
    <row r="25" spans="1:16" x14ac:dyDescent="0.25">
      <c r="A25" s="5">
        <v>21</v>
      </c>
      <c r="B25" s="5">
        <v>1</v>
      </c>
      <c r="C25" s="5">
        <f>Таблица_наблюдений!A26</f>
        <v>22</v>
      </c>
      <c r="D25" s="5">
        <f>Таблица_наблюдений!I26</f>
        <v>1</v>
      </c>
      <c r="E25" s="5">
        <f>Таблица_наблюдений!J26</f>
        <v>0</v>
      </c>
      <c r="F25" s="5">
        <f>Таблица_наблюдений!K26</f>
        <v>0</v>
      </c>
      <c r="G25" s="5">
        <f>Таблица_наблюдений!U26</f>
        <v>3</v>
      </c>
      <c r="H25" s="5">
        <f>Таблица_наблюдений!V26</f>
        <v>6</v>
      </c>
      <c r="I25" s="5">
        <f>Таблица_наблюдений!W26</f>
        <v>6</v>
      </c>
      <c r="J25" s="5">
        <f>Таблица_наблюдений!T26</f>
        <v>7</v>
      </c>
      <c r="K25" s="10">
        <f t="shared" si="0"/>
        <v>7.1751507292812198</v>
      </c>
      <c r="L25" s="10">
        <f t="shared" si="1"/>
        <v>-0.17515072928121977</v>
      </c>
      <c r="M25" s="10">
        <f t="shared" si="2"/>
        <v>3.0677777967743139E-2</v>
      </c>
      <c r="O25" s="3" t="s">
        <v>448</v>
      </c>
      <c r="P25" s="11">
        <v>0.33170630536055512</v>
      </c>
    </row>
    <row r="26" spans="1:16" x14ac:dyDescent="0.25">
      <c r="A26" s="5">
        <v>22</v>
      </c>
      <c r="B26" s="5">
        <v>1</v>
      </c>
      <c r="C26" s="5">
        <f>Таблица_наблюдений!A27</f>
        <v>23</v>
      </c>
      <c r="D26" s="5">
        <f>Таблица_наблюдений!I27</f>
        <v>0</v>
      </c>
      <c r="E26" s="5">
        <f>Таблица_наблюдений!J27</f>
        <v>1</v>
      </c>
      <c r="F26" s="5">
        <f>Таблица_наблюдений!K27</f>
        <v>0</v>
      </c>
      <c r="G26" s="5">
        <f>Таблица_наблюдений!U27</f>
        <v>3</v>
      </c>
      <c r="H26" s="5">
        <f>Таблица_наблюдений!V27</f>
        <v>6</v>
      </c>
      <c r="I26" s="5">
        <f>Таблица_наблюдений!W27</f>
        <v>5</v>
      </c>
      <c r="J26" s="5">
        <f>Таблица_наблюдений!T27</f>
        <v>7</v>
      </c>
      <c r="K26" s="10">
        <f t="shared" si="0"/>
        <v>7.0044614043627051</v>
      </c>
      <c r="L26" s="10">
        <f t="shared" si="1"/>
        <v>-4.4614043627051458E-3</v>
      </c>
      <c r="M26" s="10">
        <f t="shared" si="2"/>
        <v>1.9904128887564509E-5</v>
      </c>
      <c r="O26" s="3" t="s">
        <v>449</v>
      </c>
      <c r="P26" s="11">
        <v>0.52615382893702289</v>
      </c>
    </row>
    <row r="27" spans="1:16" x14ac:dyDescent="0.25">
      <c r="A27" s="5">
        <v>23</v>
      </c>
      <c r="B27" s="5">
        <v>1</v>
      </c>
      <c r="C27" s="5">
        <f>Таблица_наблюдений!A28</f>
        <v>24</v>
      </c>
      <c r="D27" s="5">
        <f>Таблица_наблюдений!I28</f>
        <v>0</v>
      </c>
      <c r="E27" s="5">
        <f>Таблица_наблюдений!J28</f>
        <v>0</v>
      </c>
      <c r="F27" s="5">
        <f>Таблица_наблюдений!K28</f>
        <v>1</v>
      </c>
      <c r="G27" s="5">
        <f>Таблица_наблюдений!U28</f>
        <v>3</v>
      </c>
      <c r="H27" s="5">
        <f>Таблица_наблюдений!V28</f>
        <v>3</v>
      </c>
      <c r="I27" s="5">
        <f>Таблица_наблюдений!W28</f>
        <v>2</v>
      </c>
      <c r="J27" s="5">
        <f>Таблица_наблюдений!T28</f>
        <v>3</v>
      </c>
      <c r="K27" s="10">
        <f t="shared" si="0"/>
        <v>5.6867170822519926</v>
      </c>
      <c r="L27" s="10">
        <f t="shared" si="1"/>
        <v>-2.6867170822519926</v>
      </c>
      <c r="M27" s="10">
        <f t="shared" si="2"/>
        <v>7.2184486800646601</v>
      </c>
    </row>
    <row r="28" spans="1:16" x14ac:dyDescent="0.25">
      <c r="A28" s="5">
        <v>24</v>
      </c>
      <c r="B28" s="5">
        <v>1</v>
      </c>
      <c r="C28" s="5">
        <f>Таблица_наблюдений!A29</f>
        <v>25</v>
      </c>
      <c r="D28" s="5">
        <f>Таблица_наблюдений!I29</f>
        <v>0</v>
      </c>
      <c r="E28" s="5">
        <f>Таблица_наблюдений!J29</f>
        <v>0</v>
      </c>
      <c r="F28" s="5">
        <f>Таблица_наблюдений!K29</f>
        <v>0</v>
      </c>
      <c r="G28" s="5">
        <f>Таблица_наблюдений!U29</f>
        <v>1</v>
      </c>
      <c r="H28" s="5">
        <f>Таблица_наблюдений!V29</f>
        <v>1</v>
      </c>
      <c r="I28" s="5">
        <f>Таблица_наблюдений!W29</f>
        <v>0</v>
      </c>
      <c r="J28" s="5">
        <f>Таблица_наблюдений!T29</f>
        <v>1</v>
      </c>
      <c r="K28" s="10">
        <f t="shared" si="0"/>
        <v>1.7973221618978552</v>
      </c>
      <c r="L28" s="10">
        <f t="shared" si="1"/>
        <v>-0.79732216189785521</v>
      </c>
      <c r="M28" s="10">
        <f t="shared" si="2"/>
        <v>0.63572262985346961</v>
      </c>
      <c r="O28" s="3" t="s">
        <v>487</v>
      </c>
    </row>
    <row r="29" spans="1:16" x14ac:dyDescent="0.25">
      <c r="A29" s="5">
        <v>25</v>
      </c>
      <c r="B29" s="5">
        <v>1</v>
      </c>
      <c r="C29" s="5">
        <f>Таблица_наблюдений!A30</f>
        <v>26</v>
      </c>
      <c r="D29" s="5">
        <f>Таблица_наблюдений!I30</f>
        <v>1</v>
      </c>
      <c r="E29" s="5">
        <f>Таблица_наблюдений!J30</f>
        <v>0</v>
      </c>
      <c r="F29" s="5">
        <f>Таблица_наблюдений!K30</f>
        <v>0</v>
      </c>
      <c r="G29" s="5">
        <f>Таблица_наблюдений!U30</f>
        <v>0</v>
      </c>
      <c r="H29" s="5">
        <f>Таблица_наблюдений!V30</f>
        <v>1</v>
      </c>
      <c r="I29" s="5">
        <f>Таблица_наблюдений!W30</f>
        <v>1</v>
      </c>
      <c r="J29" s="5">
        <f>Таблица_наблюдений!T30</f>
        <v>1</v>
      </c>
      <c r="K29" s="10">
        <f t="shared" si="0"/>
        <v>1.2180509329541134</v>
      </c>
      <c r="L29" s="10">
        <f t="shared" si="1"/>
        <v>-0.21805093295411337</v>
      </c>
      <c r="M29" s="10">
        <f t="shared" si="2"/>
        <v>4.7546209362159246E-2</v>
      </c>
      <c r="O29" s="5" t="s">
        <v>488</v>
      </c>
      <c r="P29" s="13">
        <f>COUNT(J5:J39)</f>
        <v>35</v>
      </c>
    </row>
    <row r="30" spans="1:16" x14ac:dyDescent="0.25">
      <c r="A30" s="5">
        <v>26</v>
      </c>
      <c r="B30" s="5">
        <v>1</v>
      </c>
      <c r="C30" s="5">
        <f>Таблица_наблюдений!A31</f>
        <v>27</v>
      </c>
      <c r="D30" s="5">
        <f>Таблица_наблюдений!I31</f>
        <v>0</v>
      </c>
      <c r="E30" s="5">
        <f>Таблица_наблюдений!J31</f>
        <v>1</v>
      </c>
      <c r="F30" s="5">
        <f>Таблица_наблюдений!K31</f>
        <v>0</v>
      </c>
      <c r="G30" s="5">
        <f>Таблица_наблюдений!U31</f>
        <v>3</v>
      </c>
      <c r="H30" s="5">
        <f>Таблица_наблюдений!V31</f>
        <v>1</v>
      </c>
      <c r="I30" s="5">
        <f>Таблица_наблюдений!W31</f>
        <v>3</v>
      </c>
      <c r="J30" s="5">
        <f>Таблица_наблюдений!T31</f>
        <v>4</v>
      </c>
      <c r="K30" s="10">
        <f t="shared" si="0"/>
        <v>4.2299632269696437</v>
      </c>
      <c r="L30" s="10">
        <f t="shared" si="1"/>
        <v>-0.22996322696964366</v>
      </c>
      <c r="M30" s="10">
        <f t="shared" si="2"/>
        <v>5.2883085758291849E-2</v>
      </c>
      <c r="O30" s="5" t="s">
        <v>489</v>
      </c>
      <c r="P30" s="13">
        <v>8</v>
      </c>
    </row>
    <row r="31" spans="1:16" x14ac:dyDescent="0.25">
      <c r="A31" s="5">
        <v>27</v>
      </c>
      <c r="B31" s="5">
        <v>1</v>
      </c>
      <c r="C31" s="5">
        <f>Таблица_наблюдений!A32</f>
        <v>28</v>
      </c>
      <c r="D31" s="5">
        <f>Таблица_наблюдений!I32</f>
        <v>0</v>
      </c>
      <c r="E31" s="5">
        <f>Таблица_наблюдений!J32</f>
        <v>0</v>
      </c>
      <c r="F31" s="5">
        <f>Таблица_наблюдений!K32</f>
        <v>1</v>
      </c>
      <c r="G31" s="5">
        <f>Таблица_наблюдений!U32</f>
        <v>1</v>
      </c>
      <c r="H31" s="5">
        <f>Таблица_наблюдений!V32</f>
        <v>0</v>
      </c>
      <c r="I31" s="5">
        <f>Таблица_наблюдений!W32</f>
        <v>1</v>
      </c>
      <c r="J31" s="5">
        <f>Таблица_наблюдений!T32</f>
        <v>2</v>
      </c>
      <c r="K31" s="10">
        <f t="shared" si="0"/>
        <v>3.0323585897684118</v>
      </c>
      <c r="L31" s="10">
        <f t="shared" si="1"/>
        <v>-1.0323585897684118</v>
      </c>
      <c r="M31" s="10">
        <f t="shared" si="2"/>
        <v>1.0657642578686239</v>
      </c>
      <c r="O31" s="5" t="s">
        <v>490</v>
      </c>
      <c r="P31" s="13">
        <f>M40</f>
        <v>37.873308423753663</v>
      </c>
    </row>
    <row r="32" spans="1:16" x14ac:dyDescent="0.25">
      <c r="A32" s="5">
        <v>28</v>
      </c>
      <c r="B32" s="5">
        <v>1</v>
      </c>
      <c r="C32" s="5">
        <f>Таблица_наблюдений!A33</f>
        <v>29</v>
      </c>
      <c r="D32" s="5">
        <f>Таблица_наблюдений!I33</f>
        <v>0</v>
      </c>
      <c r="E32" s="5">
        <f>Таблица_наблюдений!J33</f>
        <v>0</v>
      </c>
      <c r="F32" s="5">
        <f>Таблица_наблюдений!K33</f>
        <v>0</v>
      </c>
      <c r="G32" s="5">
        <f>Таблица_наблюдений!U33</f>
        <v>2</v>
      </c>
      <c r="H32" s="5">
        <f>Таблица_наблюдений!V33</f>
        <v>1</v>
      </c>
      <c r="I32" s="5">
        <f>Таблица_наблюдений!W33</f>
        <v>2</v>
      </c>
      <c r="J32" s="5">
        <f>Таблица_наблюдений!T33</f>
        <v>4</v>
      </c>
      <c r="K32" s="10">
        <f t="shared" si="0"/>
        <v>3.3206842044299778</v>
      </c>
      <c r="L32" s="10">
        <f t="shared" si="1"/>
        <v>0.6793157955700222</v>
      </c>
      <c r="M32" s="10">
        <f t="shared" si="2"/>
        <v>0.46146995011093217</v>
      </c>
      <c r="O32" s="5" t="s">
        <v>491</v>
      </c>
      <c r="P32" s="13">
        <f>DEVSQ(J5:J39)</f>
        <v>140.74285714285716</v>
      </c>
    </row>
    <row r="33" spans="1:16" x14ac:dyDescent="0.25">
      <c r="A33" s="5">
        <v>29</v>
      </c>
      <c r="B33" s="5">
        <v>1</v>
      </c>
      <c r="C33" s="5">
        <f>Таблица_наблюдений!A34</f>
        <v>30</v>
      </c>
      <c r="D33" s="5">
        <f>Таблица_наблюдений!I34</f>
        <v>1</v>
      </c>
      <c r="E33" s="5">
        <f>Таблица_наблюдений!J34</f>
        <v>0</v>
      </c>
      <c r="F33" s="5">
        <f>Таблица_наблюдений!K34</f>
        <v>0</v>
      </c>
      <c r="G33" s="5">
        <f>Таблица_наблюдений!U34</f>
        <v>1</v>
      </c>
      <c r="H33" s="5">
        <f>Таблица_наблюдений!V34</f>
        <v>4</v>
      </c>
      <c r="I33" s="5">
        <f>Таблица_наблюдений!W34</f>
        <v>3</v>
      </c>
      <c r="J33" s="5">
        <f>Таблица_наблюдений!T34</f>
        <v>4</v>
      </c>
      <c r="K33" s="10">
        <f t="shared" si="0"/>
        <v>3.7365318915678958</v>
      </c>
      <c r="L33" s="10">
        <f t="shared" si="1"/>
        <v>0.26346810843210422</v>
      </c>
      <c r="M33" s="10">
        <f t="shared" si="2"/>
        <v>6.9415444160791026E-2</v>
      </c>
      <c r="O33" s="5" t="s">
        <v>492</v>
      </c>
      <c r="P33" s="13">
        <f>1-P31/P32</f>
        <v>0.73090422354214812</v>
      </c>
    </row>
    <row r="34" spans="1:16" x14ac:dyDescent="0.25">
      <c r="A34" s="5">
        <v>30</v>
      </c>
      <c r="B34" s="5">
        <v>1</v>
      </c>
      <c r="C34" s="5">
        <f>Таблица_наблюдений!A35</f>
        <v>31</v>
      </c>
      <c r="D34" s="5">
        <f>Таблица_наблюдений!I35</f>
        <v>0</v>
      </c>
      <c r="E34" s="5">
        <f>Таблица_наблюдений!J35</f>
        <v>1</v>
      </c>
      <c r="F34" s="5">
        <f>Таблица_наблюдений!K35</f>
        <v>0</v>
      </c>
      <c r="G34" s="5">
        <f>Таблица_наблюдений!U35</f>
        <v>6</v>
      </c>
      <c r="H34" s="5">
        <f>Таблица_наблюдений!V35</f>
        <v>4</v>
      </c>
      <c r="I34" s="5">
        <f>Таблица_наблюдений!W35</f>
        <v>4</v>
      </c>
      <c r="J34" s="5">
        <f>Таблица_наблюдений!T35</f>
        <v>9</v>
      </c>
      <c r="K34" s="10">
        <f t="shared" si="0"/>
        <v>7.2917171113950516</v>
      </c>
      <c r="L34" s="10">
        <f t="shared" si="1"/>
        <v>1.7082828886049484</v>
      </c>
      <c r="M34" s="10">
        <f t="shared" si="2"/>
        <v>2.9182304275004665</v>
      </c>
      <c r="O34" s="5" t="s">
        <v>493</v>
      </c>
      <c r="P34" s="13">
        <f>SQRT(P33)</f>
        <v>0.85492936757497584</v>
      </c>
    </row>
    <row r="35" spans="1:16" x14ac:dyDescent="0.25">
      <c r="A35" s="5">
        <v>31</v>
      </c>
      <c r="B35" s="5">
        <v>1</v>
      </c>
      <c r="C35" s="5">
        <f>Таблица_наблюдений!A36</f>
        <v>32</v>
      </c>
      <c r="D35" s="5">
        <f>Таблица_наблюдений!I36</f>
        <v>0</v>
      </c>
      <c r="E35" s="5">
        <f>Таблица_наблюдений!J36</f>
        <v>0</v>
      </c>
      <c r="F35" s="5">
        <f>Таблица_наблюдений!K36</f>
        <v>1</v>
      </c>
      <c r="G35" s="5">
        <f>Таблица_наблюдений!U36</f>
        <v>1</v>
      </c>
      <c r="H35" s="5">
        <f>Таблица_наблюдений!V36</f>
        <v>1</v>
      </c>
      <c r="I35" s="5">
        <f>Таблица_наблюдений!W36</f>
        <v>1</v>
      </c>
      <c r="J35" s="5">
        <f>Таблица_наблюдений!T36</f>
        <v>4</v>
      </c>
      <c r="K35" s="10">
        <f t="shared" si="0"/>
        <v>3.3004059024127161</v>
      </c>
      <c r="L35" s="10">
        <f t="shared" si="1"/>
        <v>0.69959409758728386</v>
      </c>
      <c r="M35" s="10">
        <f t="shared" si="2"/>
        <v>0.48943190137896603</v>
      </c>
      <c r="O35" s="5" t="s">
        <v>494</v>
      </c>
      <c r="P35" s="13">
        <f>(P32-P31)/(P30-1)/(P31/(P29-P30))</f>
        <v>10.476574705856493</v>
      </c>
    </row>
    <row r="36" spans="1:16" x14ac:dyDescent="0.25">
      <c r="A36" s="5">
        <v>32</v>
      </c>
      <c r="B36" s="5">
        <v>1</v>
      </c>
      <c r="C36" s="5">
        <f>Таблица_наблюдений!A37</f>
        <v>33</v>
      </c>
      <c r="D36" s="5">
        <f>Таблица_наблюдений!I37</f>
        <v>0</v>
      </c>
      <c r="E36" s="5">
        <f>Таблица_наблюдений!J37</f>
        <v>0</v>
      </c>
      <c r="F36" s="5">
        <f>Таблица_наблюдений!K37</f>
        <v>0</v>
      </c>
      <c r="G36" s="5">
        <f>Таблица_наблюдений!U37</f>
        <v>1</v>
      </c>
      <c r="H36" s="5">
        <f>Таблица_наблюдений!V37</f>
        <v>1</v>
      </c>
      <c r="I36" s="5">
        <f>Таблица_наблюдений!W37</f>
        <v>2</v>
      </c>
      <c r="J36" s="5">
        <f>Таблица_наблюдений!T37</f>
        <v>4</v>
      </c>
      <c r="K36" s="10">
        <f t="shared" si="0"/>
        <v>2.7223118343394042</v>
      </c>
      <c r="L36" s="10">
        <f t="shared" si="1"/>
        <v>1.2776881656605958</v>
      </c>
      <c r="M36" s="10">
        <f t="shared" si="2"/>
        <v>1.6324870486691383</v>
      </c>
      <c r="O36" s="5" t="s">
        <v>495</v>
      </c>
      <c r="P36" s="13">
        <f>_xlfn.F.DIST.RT(P35,P30-1,P29-P30)</f>
        <v>2.6707359167915633E-6</v>
      </c>
    </row>
    <row r="37" spans="1:16" x14ac:dyDescent="0.25">
      <c r="A37" s="5">
        <v>33</v>
      </c>
      <c r="B37" s="5">
        <v>1</v>
      </c>
      <c r="C37" s="5">
        <f>Таблица_наблюдений!A38</f>
        <v>34</v>
      </c>
      <c r="D37" s="5">
        <f>Таблица_наблюдений!I38</f>
        <v>1</v>
      </c>
      <c r="E37" s="5">
        <f>Таблица_наблюдений!J38</f>
        <v>0</v>
      </c>
      <c r="F37" s="5">
        <f>Таблица_наблюдений!K38</f>
        <v>0</v>
      </c>
      <c r="G37" s="5">
        <f>Таблица_наблюдений!U38</f>
        <v>3</v>
      </c>
      <c r="H37" s="5">
        <f>Таблица_наблюдений!V38</f>
        <v>2</v>
      </c>
      <c r="I37" s="5">
        <f>Таблица_наблюдений!W38</f>
        <v>5</v>
      </c>
      <c r="J37" s="5">
        <f>Таблица_наблюдений!T38</f>
        <v>6</v>
      </c>
      <c r="K37" s="10">
        <f t="shared" si="0"/>
        <v>5.1311947007532357</v>
      </c>
      <c r="L37" s="10">
        <f t="shared" si="1"/>
        <v>0.86880529924676431</v>
      </c>
      <c r="M37" s="10">
        <f t="shared" si="2"/>
        <v>0.75482264799925969</v>
      </c>
      <c r="O37" s="5" t="s">
        <v>496</v>
      </c>
      <c r="P37" s="13">
        <f>SQRT(P31/(P29-P30))</f>
        <v>1.1843627513585908</v>
      </c>
    </row>
    <row r="38" spans="1:16" x14ac:dyDescent="0.25">
      <c r="A38" s="5">
        <v>34</v>
      </c>
      <c r="B38" s="5">
        <v>1</v>
      </c>
      <c r="C38" s="5">
        <f>Таблица_наблюдений!A39</f>
        <v>35</v>
      </c>
      <c r="D38" s="5">
        <f>Таблица_наблюдений!I39</f>
        <v>0</v>
      </c>
      <c r="E38" s="5">
        <f>Таблица_наблюдений!J39</f>
        <v>1</v>
      </c>
      <c r="F38" s="5">
        <f>Таблица_наблюдений!K39</f>
        <v>0</v>
      </c>
      <c r="G38" s="5">
        <f>Таблица_наблюдений!U39</f>
        <v>3</v>
      </c>
      <c r="H38" s="5">
        <f>Таблица_наблюдений!V39</f>
        <v>5</v>
      </c>
      <c r="I38" s="5">
        <f>Таблица_наблюдений!W39</f>
        <v>5</v>
      </c>
      <c r="J38" s="5">
        <f>Таблица_наблюдений!T39</f>
        <v>5</v>
      </c>
      <c r="K38" s="10">
        <f t="shared" si="0"/>
        <v>6.4817781208534049</v>
      </c>
      <c r="L38" s="10">
        <f t="shared" si="1"/>
        <v>-1.4817781208534049</v>
      </c>
      <c r="M38" s="10">
        <f t="shared" si="2"/>
        <v>2.1956663994398475</v>
      </c>
      <c r="O38" s="5" t="s">
        <v>497</v>
      </c>
      <c r="P38" s="13">
        <f>P31/P29</f>
        <v>1.0820945263929618</v>
      </c>
    </row>
    <row r="39" spans="1:16" x14ac:dyDescent="0.25">
      <c r="A39" s="5">
        <v>35</v>
      </c>
      <c r="B39" s="5">
        <v>1</v>
      </c>
      <c r="C39" s="5">
        <f>Таблица_наблюдений!A40</f>
        <v>36</v>
      </c>
      <c r="D39" s="5">
        <f>Таблица_наблюдений!I40</f>
        <v>0</v>
      </c>
      <c r="E39" s="5">
        <f>Таблица_наблюдений!J40</f>
        <v>0</v>
      </c>
      <c r="F39" s="5">
        <f>Таблица_наблюдений!K40</f>
        <v>1</v>
      </c>
      <c r="G39" s="5">
        <f>Таблица_наблюдений!U40</f>
        <v>3</v>
      </c>
      <c r="H39" s="5">
        <f>Таблица_наблюдений!V40</f>
        <v>1</v>
      </c>
      <c r="I39" s="5">
        <f>Таблица_наблюдений!W40</f>
        <v>2</v>
      </c>
      <c r="J39" s="5">
        <f>Таблица_наблюдений!T40</f>
        <v>6</v>
      </c>
      <c r="K39" s="10">
        <f t="shared" si="0"/>
        <v>4.8323274933821398</v>
      </c>
      <c r="L39" s="10">
        <f t="shared" si="1"/>
        <v>1.1676725066178602</v>
      </c>
      <c r="M39" s="10">
        <f t="shared" si="2"/>
        <v>1.3634590827112367</v>
      </c>
    </row>
    <row r="40" spans="1:16" x14ac:dyDescent="0.25">
      <c r="I40" s="3" t="s">
        <v>466</v>
      </c>
      <c r="J40" s="15">
        <f>SUM(J5:J39)</f>
        <v>172</v>
      </c>
      <c r="K40" s="15">
        <f>SUM(K5:K39)</f>
        <v>171.99999999999994</v>
      </c>
      <c r="L40" s="15">
        <f>SUM(L5:L39)</f>
        <v>-7.5495165674510645E-15</v>
      </c>
      <c r="M40" s="15">
        <f>SUM(M5:M39)</f>
        <v>37.873308423753663</v>
      </c>
    </row>
  </sheetData>
  <pageMargins left="0.75" right="0.75" top="1" bottom="1" header="0.5" footer="0.5"/>
  <pageSetup paperSize="9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3"/>
  <sheetViews>
    <sheetView workbookViewId="0">
      <selection activeCell="A33" sqref="A33"/>
    </sheetView>
  </sheetViews>
  <sheetFormatPr defaultRowHeight="15" x14ac:dyDescent="0.25"/>
  <cols>
    <col min="1" max="11" width="10.42578125" style="34" customWidth="1"/>
    <col min="12" max="12" width="9.140625" style="34"/>
    <col min="13" max="21" width="12" style="34" customWidth="1"/>
    <col min="22" max="16384" width="9.140625" style="34"/>
  </cols>
  <sheetData>
    <row r="1" spans="1:21" ht="18.75" x14ac:dyDescent="0.3">
      <c r="A1" s="33" t="s">
        <v>509</v>
      </c>
    </row>
    <row r="2" spans="1:21" x14ac:dyDescent="0.25">
      <c r="A2" s="6" t="s">
        <v>510</v>
      </c>
    </row>
    <row r="4" spans="1:21" ht="15.75" x14ac:dyDescent="0.25">
      <c r="A4" s="43" t="s">
        <v>511</v>
      </c>
      <c r="M4" s="3" t="s">
        <v>512</v>
      </c>
    </row>
    <row r="5" spans="1:21" ht="45" customHeight="1" x14ac:dyDescent="0.25">
      <c r="A5" s="25" t="s">
        <v>444</v>
      </c>
      <c r="B5" s="25" t="s">
        <v>445</v>
      </c>
      <c r="C5" s="25" t="s">
        <v>513</v>
      </c>
      <c r="D5" s="25" t="s">
        <v>514</v>
      </c>
      <c r="E5" s="25" t="s">
        <v>515</v>
      </c>
      <c r="F5" s="25" t="s">
        <v>516</v>
      </c>
      <c r="G5" s="25" t="s">
        <v>517</v>
      </c>
      <c r="H5" s="25" t="s">
        <v>518</v>
      </c>
      <c r="I5" s="25" t="s">
        <v>519</v>
      </c>
      <c r="J5" s="25" t="s">
        <v>520</v>
      </c>
      <c r="K5" s="25" t="s">
        <v>521</v>
      </c>
      <c r="L5" s="23"/>
      <c r="M5" s="25" t="s">
        <v>444</v>
      </c>
      <c r="N5" s="25" t="s">
        <v>522</v>
      </c>
      <c r="O5" s="25" t="s">
        <v>523</v>
      </c>
      <c r="P5" s="25" t="s">
        <v>524</v>
      </c>
      <c r="Q5" s="25" t="s">
        <v>525</v>
      </c>
      <c r="R5" s="25" t="s">
        <v>526</v>
      </c>
      <c r="S5" s="25" t="s">
        <v>527</v>
      </c>
      <c r="T5" s="25" t="s">
        <v>528</v>
      </c>
      <c r="U5" s="25" t="s">
        <v>529</v>
      </c>
    </row>
    <row r="6" spans="1:21" x14ac:dyDescent="0.25">
      <c r="A6" s="44">
        <f>МНК_STATS19!C36</f>
        <v>33</v>
      </c>
      <c r="B6" s="44">
        <v>1</v>
      </c>
      <c r="C6" s="44">
        <f>МНК_STATS19!J36</f>
        <v>4</v>
      </c>
      <c r="D6" s="44">
        <f>МНК_STATS19!G36</f>
        <v>1</v>
      </c>
      <c r="E6" s="44">
        <f>МНК_STATS19!H36</f>
        <v>1</v>
      </c>
      <c r="F6" s="44">
        <f>МНК_STATS19!I36</f>
        <v>2</v>
      </c>
      <c r="G6" s="45">
        <f>МНК_STATS19!$P$13+МНК_STATS19!$Q$13*МНК_STATS19!C36+МНК_STATS19!$S$13*МНК_STATS19!D36+МНК_STATS19!$T$13*МНК_STATS19!E36+МНК_STATS19!$U$13*МНК_STATS19!F36+МНК_STATS19!$X$13*МНК_STATS19!I36</f>
        <v>1.6848965979652459</v>
      </c>
      <c r="H6" s="45">
        <f>МНК_STATS19!$V$13*МНК_STATS19!G36</f>
        <v>0.56828667892041418</v>
      </c>
      <c r="I6" s="45">
        <f>МНК_STATS19!$W$13*МНК_STATS19!H36</f>
        <v>0.35457985704415779</v>
      </c>
      <c r="J6" s="45">
        <f>G6+H6+I6</f>
        <v>2.6077631339298177</v>
      </c>
      <c r="K6" s="45">
        <f>C6-J6</f>
        <v>1.3922368660701823</v>
      </c>
      <c r="M6" s="44">
        <f>A6</f>
        <v>33</v>
      </c>
      <c r="N6" s="45">
        <f>D6</f>
        <v>1</v>
      </c>
      <c r="O6" s="45">
        <f>H6</f>
        <v>0.56828667892041418</v>
      </c>
      <c r="P6" s="45">
        <f t="shared" ref="P6:Q9" si="0">F6</f>
        <v>2</v>
      </c>
      <c r="Q6" s="45">
        <f t="shared" si="0"/>
        <v>1.6848965979652459</v>
      </c>
      <c r="R6" s="45">
        <f>E6</f>
        <v>1</v>
      </c>
      <c r="S6" s="45">
        <f>I6</f>
        <v>0.35457985704415779</v>
      </c>
      <c r="T6" s="45">
        <f>C6</f>
        <v>4</v>
      </c>
      <c r="U6" s="45">
        <f>J6</f>
        <v>2.6077631339298177</v>
      </c>
    </row>
    <row r="7" spans="1:21" x14ac:dyDescent="0.25">
      <c r="A7" s="44">
        <f>МНК_STATS19!C37</f>
        <v>34</v>
      </c>
      <c r="B7" s="44">
        <v>2</v>
      </c>
      <c r="C7" s="44">
        <f>МНК_STATS19!J37</f>
        <v>6</v>
      </c>
      <c r="D7" s="44">
        <f>МНК_STATS19!G37</f>
        <v>3</v>
      </c>
      <c r="E7" s="44">
        <f>МНК_STATS19!H37</f>
        <v>2</v>
      </c>
      <c r="F7" s="44">
        <f>МНК_STATS19!I37</f>
        <v>5</v>
      </c>
      <c r="G7" s="45">
        <f>МНК_STATS19!$P$13+МНК_STATS19!$Q$13*МНК_STATS19!C37+МНК_STATS19!$S$13*МНК_STATS19!D37+МНК_STATS19!$T$13*МНК_STATS19!E37+МНК_STATS19!$U$13*МНК_STATS19!F37+МНК_STATS19!$X$13*МНК_STATS19!I37</f>
        <v>2.8154336310035113</v>
      </c>
      <c r="H7" s="45">
        <f>МНК_STATS19!$V$13*МНК_STATS19!G37</f>
        <v>1.7048600367612425</v>
      </c>
      <c r="I7" s="45">
        <f>МНК_STATS19!$W$13*МНК_STATS19!H37</f>
        <v>0.70915971408831557</v>
      </c>
      <c r="J7" s="45">
        <f>G7+H7+I7</f>
        <v>5.2294533818530695</v>
      </c>
      <c r="K7" s="45">
        <f>C7-J7</f>
        <v>0.77054661814693048</v>
      </c>
      <c r="M7" s="44">
        <f>A7</f>
        <v>34</v>
      </c>
      <c r="N7" s="45">
        <f>D7</f>
        <v>3</v>
      </c>
      <c r="O7" s="45">
        <f>H7</f>
        <v>1.7048600367612425</v>
      </c>
      <c r="P7" s="45">
        <f t="shared" si="0"/>
        <v>5</v>
      </c>
      <c r="Q7" s="45">
        <f t="shared" si="0"/>
        <v>2.8154336310035113</v>
      </c>
      <c r="R7" s="45">
        <f>E7</f>
        <v>2</v>
      </c>
      <c r="S7" s="45">
        <f>I7</f>
        <v>0.70915971408831557</v>
      </c>
      <c r="T7" s="45">
        <f>C7</f>
        <v>6</v>
      </c>
      <c r="U7" s="45">
        <f>J7</f>
        <v>5.2294533818530695</v>
      </c>
    </row>
    <row r="8" spans="1:21" x14ac:dyDescent="0.25">
      <c r="A8" s="44">
        <f>МНК_STATS19!C38</f>
        <v>35</v>
      </c>
      <c r="B8" s="44">
        <v>3</v>
      </c>
      <c r="C8" s="44">
        <f>МНК_STATS19!J38</f>
        <v>5</v>
      </c>
      <c r="D8" s="44">
        <f>МНК_STATS19!G38</f>
        <v>3</v>
      </c>
      <c r="E8" s="44">
        <f>МНК_STATS19!H38</f>
        <v>5</v>
      </c>
      <c r="F8" s="44">
        <f>МНК_STATS19!I38</f>
        <v>5</v>
      </c>
      <c r="G8" s="45">
        <f>МНК_STATS19!$P$13+МНК_STATS19!$Q$13*МНК_STATS19!C38+МНК_STATS19!$S$13*МНК_STATS19!D38+МНК_STATS19!$T$13*МНК_STATS19!E38+МНК_STATS19!$U$13*МНК_STATS19!F38+МНК_STATS19!$X$13*МНК_STATS19!I38</f>
        <v>3.1314924681208538</v>
      </c>
      <c r="H8" s="45">
        <f>МНК_STATS19!$V$13*МНК_STATS19!G38</f>
        <v>1.7048600367612425</v>
      </c>
      <c r="I8" s="45">
        <f>МНК_STATS19!$W$13*МНК_STATS19!H38</f>
        <v>1.772899285220789</v>
      </c>
      <c r="J8" s="45">
        <f>G8+H8+I8</f>
        <v>6.6092517901028858</v>
      </c>
      <c r="K8" s="45">
        <f>C8-J8</f>
        <v>-1.6092517901028858</v>
      </c>
      <c r="M8" s="44">
        <f>A8</f>
        <v>35</v>
      </c>
      <c r="N8" s="45">
        <f>D8</f>
        <v>3</v>
      </c>
      <c r="O8" s="45">
        <f>H8</f>
        <v>1.7048600367612425</v>
      </c>
      <c r="P8" s="45">
        <f t="shared" si="0"/>
        <v>5</v>
      </c>
      <c r="Q8" s="45">
        <f t="shared" si="0"/>
        <v>3.1314924681208538</v>
      </c>
      <c r="R8" s="45">
        <f>E8</f>
        <v>5</v>
      </c>
      <c r="S8" s="45">
        <f>I8</f>
        <v>1.772899285220789</v>
      </c>
      <c r="T8" s="45">
        <f>C8</f>
        <v>5</v>
      </c>
      <c r="U8" s="45">
        <f>J8</f>
        <v>6.6092517901028858</v>
      </c>
    </row>
    <row r="9" spans="1:21" x14ac:dyDescent="0.25">
      <c r="A9" s="44">
        <f>МНК_STATS19!C39</f>
        <v>36</v>
      </c>
      <c r="B9" s="44">
        <v>4</v>
      </c>
      <c r="C9" s="44">
        <f>МНК_STATS19!J39</f>
        <v>6</v>
      </c>
      <c r="D9" s="44">
        <f>МНК_STATS19!G39</f>
        <v>3</v>
      </c>
      <c r="E9" s="44">
        <f>МНК_STATS19!H39</f>
        <v>1</v>
      </c>
      <c r="F9" s="44">
        <f>МНК_STATS19!I39</f>
        <v>2</v>
      </c>
      <c r="G9" s="45">
        <f>МНК_STATS19!$P$13+МНК_STATS19!$Q$13*МНК_STATS19!C39+МНК_STATS19!$S$13*МНК_STATS19!D39+МНК_STATS19!$T$13*МНК_STATS19!E39+МНК_STATS19!$U$13*МНК_STATS19!F39+МНК_STATS19!$X$13*МНК_STATS19!I39</f>
        <v>2.8665989258130509</v>
      </c>
      <c r="H9" s="45">
        <f>МНК_STATS19!$V$13*МНК_STATS19!G39</f>
        <v>1.7048600367612425</v>
      </c>
      <c r="I9" s="45">
        <f>МНК_STATS19!$W$13*МНК_STATS19!H39</f>
        <v>0.35457985704415779</v>
      </c>
      <c r="J9" s="45">
        <f>G9+H9+I9</f>
        <v>4.9260388196184515</v>
      </c>
      <c r="K9" s="45">
        <f>C9-J9</f>
        <v>1.0739611803815485</v>
      </c>
      <c r="M9" s="44">
        <f>A9</f>
        <v>36</v>
      </c>
      <c r="N9" s="45">
        <f>D9</f>
        <v>3</v>
      </c>
      <c r="O9" s="45">
        <f>H9</f>
        <v>1.7048600367612425</v>
      </c>
      <c r="P9" s="45">
        <f t="shared" si="0"/>
        <v>2</v>
      </c>
      <c r="Q9" s="45">
        <f t="shared" si="0"/>
        <v>2.8665989258130509</v>
      </c>
      <c r="R9" s="45">
        <f>E9</f>
        <v>1</v>
      </c>
      <c r="S9" s="45">
        <f>I9</f>
        <v>0.35457985704415779</v>
      </c>
      <c r="T9" s="45">
        <f>C9</f>
        <v>6</v>
      </c>
      <c r="U9" s="45">
        <f>J9</f>
        <v>4.9260388196184515</v>
      </c>
    </row>
    <row r="10" spans="1:21" x14ac:dyDescent="0.25">
      <c r="A10" s="44" t="s">
        <v>530</v>
      </c>
      <c r="B10" s="44" t="s">
        <v>466</v>
      </c>
      <c r="C10" s="16">
        <f t="shared" ref="C10:K10" si="1">SUM(C6:C9)</f>
        <v>21</v>
      </c>
      <c r="D10" s="16">
        <f t="shared" si="1"/>
        <v>10</v>
      </c>
      <c r="E10" s="16">
        <f t="shared" si="1"/>
        <v>9</v>
      </c>
      <c r="F10" s="16">
        <f t="shared" si="1"/>
        <v>14</v>
      </c>
      <c r="G10" s="17">
        <f t="shared" si="1"/>
        <v>10.498421622902661</v>
      </c>
      <c r="H10" s="17">
        <f t="shared" si="1"/>
        <v>5.6828667892041418</v>
      </c>
      <c r="I10" s="17">
        <f t="shared" si="1"/>
        <v>3.1912187133974199</v>
      </c>
      <c r="J10" s="17">
        <f t="shared" si="1"/>
        <v>19.372507125504224</v>
      </c>
      <c r="K10" s="17">
        <f t="shared" si="1"/>
        <v>1.6274928744957755</v>
      </c>
    </row>
    <row r="11" spans="1:21" x14ac:dyDescent="0.25">
      <c r="A11" s="34" t="s">
        <v>531</v>
      </c>
      <c r="J11" s="46">
        <f>ABS(K10)/C10</f>
        <v>7.749966069027503E-2</v>
      </c>
    </row>
    <row r="14" spans="1:21" ht="15.75" x14ac:dyDescent="0.25">
      <c r="A14" s="43" t="s">
        <v>532</v>
      </c>
    </row>
    <row r="15" spans="1:21" ht="30" x14ac:dyDescent="0.25">
      <c r="A15" s="25" t="s">
        <v>444</v>
      </c>
      <c r="B15" s="25" t="s">
        <v>445</v>
      </c>
      <c r="C15" s="25" t="s">
        <v>513</v>
      </c>
      <c r="D15" s="25" t="s">
        <v>514</v>
      </c>
      <c r="E15" s="25" t="s">
        <v>515</v>
      </c>
      <c r="F15" s="25" t="s">
        <v>516</v>
      </c>
      <c r="G15" s="25" t="s">
        <v>517</v>
      </c>
      <c r="H15" s="25" t="s">
        <v>518</v>
      </c>
      <c r="I15" s="25" t="s">
        <v>519</v>
      </c>
      <c r="J15" s="25" t="s">
        <v>520</v>
      </c>
      <c r="K15" s="25" t="s">
        <v>521</v>
      </c>
    </row>
    <row r="16" spans="1:21" x14ac:dyDescent="0.25">
      <c r="A16" s="47">
        <f>МНК_ВКР!C36</f>
        <v>33</v>
      </c>
      <c r="B16" s="47">
        <v>1</v>
      </c>
      <c r="C16" s="47">
        <f>МНК_ВКР!J36</f>
        <v>4</v>
      </c>
      <c r="D16" s="47">
        <f>МНК_ВКР!G36</f>
        <v>1</v>
      </c>
      <c r="E16" s="47">
        <f>МНК_ВКР!H36</f>
        <v>1</v>
      </c>
      <c r="F16" s="47">
        <f>МНК_ВКР!I36</f>
        <v>3</v>
      </c>
      <c r="G16" s="48">
        <f>МНК_ВКР!$P$13+МНК_ВКР!$Q$13*МНК_ВКР!C36+МНК_ВКР!$S$13*МНК_ВКР!D36+МНК_ВКР!$T$13*МНК_ВКР!E36+МНК_ВКР!$U$13*МНК_ВКР!F36+МНК_ВКР!$X$13*МНК_ВКР!I36</f>
        <v>2.2720319626257703</v>
      </c>
      <c r="H16" s="48">
        <f>МНК_ВКР!$V$13*МНК_ВКР!G36</f>
        <v>0.55701625887945105</v>
      </c>
      <c r="I16" s="48">
        <f>МНК_ВКР!$W$13*МНК_ВКР!H36</f>
        <v>0.32504632053809701</v>
      </c>
      <c r="J16" s="48">
        <f>G16+H16+I16</f>
        <v>3.1540945420433184</v>
      </c>
      <c r="K16" s="48">
        <f>C16-J16</f>
        <v>0.84590545795668159</v>
      </c>
    </row>
    <row r="17" spans="1:11" x14ac:dyDescent="0.25">
      <c r="A17" s="47">
        <f>МНК_ВКР!C37</f>
        <v>34</v>
      </c>
      <c r="B17" s="47">
        <v>2</v>
      </c>
      <c r="C17" s="47">
        <f>МНК_ВКР!J37</f>
        <v>6</v>
      </c>
      <c r="D17" s="47">
        <f>МНК_ВКР!G37</f>
        <v>3</v>
      </c>
      <c r="E17" s="47">
        <f>МНК_ВКР!H37</f>
        <v>2</v>
      </c>
      <c r="F17" s="47">
        <f>МНК_ВКР!I37</f>
        <v>5</v>
      </c>
      <c r="G17" s="48">
        <f>МНК_ВКР!$P$13+МНК_ВКР!$Q$13*МНК_ВКР!C37+МНК_ВКР!$S$13*МНК_ВКР!D37+МНК_ВКР!$T$13*МНК_ВКР!E37+МНК_ВКР!$U$13*МНК_ВКР!F37+МНК_ВКР!$X$13*МНК_ВКР!I37</f>
        <v>2.8859322030582595</v>
      </c>
      <c r="H17" s="48">
        <f>МНК_ВКР!$V$13*МНК_ВКР!G37</f>
        <v>1.6710487766383531</v>
      </c>
      <c r="I17" s="48">
        <f>МНК_ВКР!$W$13*МНК_ВКР!H37</f>
        <v>0.65009264107619402</v>
      </c>
      <c r="J17" s="48">
        <f>G17+H17+I17</f>
        <v>5.2070736207728068</v>
      </c>
      <c r="K17" s="48">
        <f>C17-J17</f>
        <v>0.79292637922719322</v>
      </c>
    </row>
    <row r="18" spans="1:11" x14ac:dyDescent="0.25">
      <c r="A18" s="47">
        <f>МНК_ВКР!C38</f>
        <v>35</v>
      </c>
      <c r="B18" s="47">
        <v>3</v>
      </c>
      <c r="C18" s="47">
        <f>МНК_ВКР!J38</f>
        <v>6</v>
      </c>
      <c r="D18" s="47">
        <f>МНК_ВКР!G38</f>
        <v>3</v>
      </c>
      <c r="E18" s="47">
        <f>МНК_ВКР!H38</f>
        <v>5</v>
      </c>
      <c r="F18" s="47">
        <f>МНК_ВКР!I38</f>
        <v>5</v>
      </c>
      <c r="G18" s="48">
        <f>МНК_ВКР!$P$13+МНК_ВКР!$Q$13*МНК_ВКР!C38+МНК_ВКР!$S$13*МНК_ВКР!D38+МНК_ВКР!$T$13*МНК_ВКР!E38+МНК_ВКР!$U$13*МНК_ВКР!F38+МНК_ВКР!$X$13*МНК_ВКР!I38</f>
        <v>3.1376005185581723</v>
      </c>
      <c r="H18" s="48">
        <f>МНК_ВКР!$V$13*МНК_ВКР!G38</f>
        <v>1.6710487766383531</v>
      </c>
      <c r="I18" s="48">
        <f>МНК_ВКР!$W$13*МНК_ВКР!H38</f>
        <v>1.6252316026904849</v>
      </c>
      <c r="J18" s="48">
        <f>G18+H18+I18</f>
        <v>6.4338808978870112</v>
      </c>
      <c r="K18" s="48">
        <f>C18-J18</f>
        <v>-0.43388089788701123</v>
      </c>
    </row>
    <row r="19" spans="1:11" x14ac:dyDescent="0.25">
      <c r="A19" s="47">
        <f>МНК_ВКР!C39</f>
        <v>36</v>
      </c>
      <c r="B19" s="47">
        <v>4</v>
      </c>
      <c r="C19" s="47">
        <f>МНК_ВКР!J39</f>
        <v>5</v>
      </c>
      <c r="D19" s="47">
        <f>МНК_ВКР!G39</f>
        <v>3</v>
      </c>
      <c r="E19" s="47">
        <f>МНК_ВКР!H39</f>
        <v>1</v>
      </c>
      <c r="F19" s="47">
        <f>МНК_ВКР!I39</f>
        <v>2</v>
      </c>
      <c r="G19" s="48">
        <f>МНК_ВКР!$P$13+МНК_ВКР!$Q$13*МНК_ВКР!C39+МНК_ВКР!$S$13*МНК_ВКР!D39+МНК_ВКР!$T$13*МНК_ВКР!E39+МНК_ВКР!$U$13*МНК_ВКР!F39+МНК_ВКР!$X$13*МНК_ВКР!I39</f>
        <v>2.7900155979675492</v>
      </c>
      <c r="H19" s="48">
        <f>МНК_ВКР!$V$13*МНК_ВКР!G39</f>
        <v>1.6710487766383531</v>
      </c>
      <c r="I19" s="48">
        <f>МНК_ВКР!$W$13*МНК_ВКР!H39</f>
        <v>0.32504632053809701</v>
      </c>
      <c r="J19" s="48">
        <f>G19+H19+I19</f>
        <v>4.7861106951439991</v>
      </c>
      <c r="K19" s="48">
        <f>C19-J19</f>
        <v>0.21388930485600088</v>
      </c>
    </row>
    <row r="20" spans="1:11" x14ac:dyDescent="0.25">
      <c r="A20" s="47" t="s">
        <v>530</v>
      </c>
      <c r="B20" s="47" t="s">
        <v>466</v>
      </c>
      <c r="C20" s="49">
        <f t="shared" ref="C20:K20" si="2">SUM(C16:C19)</f>
        <v>21</v>
      </c>
      <c r="D20" s="49">
        <f t="shared" si="2"/>
        <v>10</v>
      </c>
      <c r="E20" s="49">
        <f t="shared" si="2"/>
        <v>9</v>
      </c>
      <c r="F20" s="49">
        <f t="shared" si="2"/>
        <v>15</v>
      </c>
      <c r="G20" s="50">
        <f t="shared" si="2"/>
        <v>11.085580282209751</v>
      </c>
      <c r="H20" s="50">
        <f t="shared" si="2"/>
        <v>5.5701625887945099</v>
      </c>
      <c r="I20" s="50">
        <f t="shared" si="2"/>
        <v>2.925416884842873</v>
      </c>
      <c r="J20" s="50">
        <f t="shared" si="2"/>
        <v>19.581159755847136</v>
      </c>
      <c r="K20" s="50">
        <f t="shared" si="2"/>
        <v>1.4188402441528645</v>
      </c>
    </row>
    <row r="21" spans="1:11" x14ac:dyDescent="0.25">
      <c r="A21" s="23" t="s">
        <v>531</v>
      </c>
      <c r="B21" s="23"/>
      <c r="C21" s="23"/>
      <c r="D21" s="23"/>
      <c r="E21" s="23"/>
      <c r="F21" s="23"/>
      <c r="G21" s="23"/>
      <c r="H21" s="23"/>
      <c r="I21" s="23"/>
      <c r="J21" s="51">
        <f>ABS(K20)/C20</f>
        <v>6.7563821150136399E-2</v>
      </c>
      <c r="K21" s="23"/>
    </row>
    <row r="22" spans="1:11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</row>
    <row r="23" spans="1:11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.75" x14ac:dyDescent="0.25">
      <c r="A24" s="24" t="s">
        <v>533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30" x14ac:dyDescent="0.25">
      <c r="A25" s="25" t="s">
        <v>444</v>
      </c>
      <c r="B25" s="25" t="s">
        <v>445</v>
      </c>
      <c r="C25" s="25" t="s">
        <v>513</v>
      </c>
      <c r="D25" s="25" t="s">
        <v>514</v>
      </c>
      <c r="E25" s="25" t="s">
        <v>534</v>
      </c>
      <c r="F25" s="25" t="s">
        <v>516</v>
      </c>
      <c r="G25" s="25" t="s">
        <v>517</v>
      </c>
      <c r="H25" s="25" t="s">
        <v>518</v>
      </c>
      <c r="I25" s="25" t="s">
        <v>535</v>
      </c>
      <c r="J25" s="25" t="s">
        <v>536</v>
      </c>
      <c r="K25" s="25" t="s">
        <v>537</v>
      </c>
    </row>
    <row r="26" spans="1:11" x14ac:dyDescent="0.25">
      <c r="A26" s="44">
        <v>33</v>
      </c>
      <c r="B26" s="44">
        <v>1</v>
      </c>
      <c r="C26" s="44">
        <v>4</v>
      </c>
      <c r="D26" s="44">
        <v>1</v>
      </c>
      <c r="E26" s="44">
        <v>1</v>
      </c>
      <c r="F26" s="44">
        <v>3</v>
      </c>
      <c r="G26" s="45">
        <v>2.27</v>
      </c>
      <c r="H26" s="45">
        <v>0.45</v>
      </c>
      <c r="I26" s="45">
        <v>0.27</v>
      </c>
      <c r="J26" s="45">
        <v>2.99</v>
      </c>
      <c r="K26" s="45">
        <f>C26-J26</f>
        <v>1.0099999999999998</v>
      </c>
    </row>
    <row r="27" spans="1:11" x14ac:dyDescent="0.25">
      <c r="A27" s="44">
        <v>34</v>
      </c>
      <c r="B27" s="44">
        <v>2</v>
      </c>
      <c r="C27" s="44">
        <v>6</v>
      </c>
      <c r="D27" s="44">
        <v>3</v>
      </c>
      <c r="E27" s="44">
        <v>2</v>
      </c>
      <c r="F27" s="44">
        <v>5</v>
      </c>
      <c r="G27" s="45">
        <v>3.57</v>
      </c>
      <c r="H27" s="45">
        <v>1.36</v>
      </c>
      <c r="I27" s="45">
        <v>0.53</v>
      </c>
      <c r="J27" s="45">
        <v>5.46</v>
      </c>
      <c r="K27" s="45">
        <f>C27-J27</f>
        <v>0.54</v>
      </c>
    </row>
    <row r="28" spans="1:11" x14ac:dyDescent="0.25">
      <c r="A28" s="44">
        <v>35</v>
      </c>
      <c r="B28" s="44">
        <v>3</v>
      </c>
      <c r="C28" s="44">
        <v>6</v>
      </c>
      <c r="D28" s="44">
        <v>3</v>
      </c>
      <c r="E28" s="44">
        <v>5</v>
      </c>
      <c r="F28" s="44">
        <v>5</v>
      </c>
      <c r="G28" s="45">
        <v>3.79</v>
      </c>
      <c r="H28" s="45">
        <v>1.36</v>
      </c>
      <c r="I28" s="45">
        <v>1.33</v>
      </c>
      <c r="J28" s="45">
        <v>6.48</v>
      </c>
      <c r="K28" s="45">
        <f>C28-J28</f>
        <v>-0.48000000000000043</v>
      </c>
    </row>
    <row r="29" spans="1:11" x14ac:dyDescent="0.25">
      <c r="A29" s="44">
        <v>36</v>
      </c>
      <c r="B29" s="44">
        <v>4</v>
      </c>
      <c r="C29" s="44">
        <v>5</v>
      </c>
      <c r="D29" s="44">
        <v>3</v>
      </c>
      <c r="E29" s="44">
        <v>1</v>
      </c>
      <c r="F29" s="44">
        <v>2</v>
      </c>
      <c r="G29" s="45">
        <v>3.4</v>
      </c>
      <c r="H29" s="45">
        <v>1.36</v>
      </c>
      <c r="I29" s="45">
        <v>0.27</v>
      </c>
      <c r="J29" s="45">
        <v>5.03</v>
      </c>
      <c r="K29" s="45">
        <f>C29-J29</f>
        <v>-3.0000000000000249E-2</v>
      </c>
    </row>
    <row r="30" spans="1:11" x14ac:dyDescent="0.25">
      <c r="A30" s="44" t="s">
        <v>530</v>
      </c>
      <c r="B30" s="44" t="s">
        <v>466</v>
      </c>
      <c r="C30" s="16">
        <f t="shared" ref="C30:K30" si="3">SUM(C26:C29)</f>
        <v>21</v>
      </c>
      <c r="D30" s="16">
        <f t="shared" si="3"/>
        <v>10</v>
      </c>
      <c r="E30" s="16">
        <f t="shared" si="3"/>
        <v>9</v>
      </c>
      <c r="F30" s="16">
        <f t="shared" si="3"/>
        <v>15</v>
      </c>
      <c r="G30" s="17">
        <f t="shared" si="3"/>
        <v>13.03</v>
      </c>
      <c r="H30" s="17">
        <f t="shared" si="3"/>
        <v>4.53</v>
      </c>
      <c r="I30" s="17">
        <f t="shared" si="3"/>
        <v>2.4</v>
      </c>
      <c r="J30" s="17">
        <f t="shared" si="3"/>
        <v>19.96</v>
      </c>
      <c r="K30" s="17">
        <f t="shared" si="3"/>
        <v>1.0399999999999991</v>
      </c>
    </row>
    <row r="31" spans="1:11" x14ac:dyDescent="0.25">
      <c r="A31" s="6"/>
    </row>
    <row r="32" spans="1:11" x14ac:dyDescent="0.25">
      <c r="A32" s="6"/>
    </row>
    <row r="33" spans="1:1" x14ac:dyDescent="0.25">
      <c r="A33" s="6"/>
    </row>
  </sheetData>
  <pageMargins left="0.75" right="0.75" top="1" bottom="1" header="0.5" footer="0.5"/>
  <pageSetup paperSize="9" fitToHeight="0" orientation="landscape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0"/>
  <sheetViews>
    <sheetView workbookViewId="0">
      <selection activeCell="D17" sqref="D17"/>
    </sheetView>
  </sheetViews>
  <sheetFormatPr defaultRowHeight="15" x14ac:dyDescent="0.25"/>
  <cols>
    <col min="1" max="1" width="30" style="34" customWidth="1"/>
    <col min="2" max="2" width="22" style="34" customWidth="1"/>
    <col min="3" max="3" width="20" style="34" customWidth="1"/>
    <col min="4" max="5" width="16" style="34" customWidth="1"/>
    <col min="6" max="6" width="14" style="34" customWidth="1"/>
    <col min="7" max="7" width="12" style="34" customWidth="1"/>
    <col min="8" max="8" width="16" style="34" customWidth="1"/>
    <col min="9" max="16384" width="9.140625" style="34"/>
  </cols>
  <sheetData>
    <row r="1" spans="1:8" ht="18.75" x14ac:dyDescent="0.3">
      <c r="A1" s="33" t="s">
        <v>538</v>
      </c>
    </row>
    <row r="2" spans="1:8" x14ac:dyDescent="0.25">
      <c r="A2" s="6" t="s">
        <v>539</v>
      </c>
    </row>
    <row r="4" spans="1:8" ht="32.1" customHeight="1" x14ac:dyDescent="0.25">
      <c r="A4" s="25" t="s">
        <v>540</v>
      </c>
      <c r="B4" s="25" t="s">
        <v>541</v>
      </c>
      <c r="C4" s="25" t="s">
        <v>542</v>
      </c>
      <c r="D4" s="25" t="s">
        <v>543</v>
      </c>
      <c r="E4" s="25" t="s">
        <v>544</v>
      </c>
      <c r="F4" s="25" t="s">
        <v>545</v>
      </c>
      <c r="G4" s="25" t="s">
        <v>546</v>
      </c>
      <c r="H4" s="25" t="s">
        <v>547</v>
      </c>
    </row>
    <row r="5" spans="1:8" x14ac:dyDescent="0.25">
      <c r="A5" s="38" t="s">
        <v>475</v>
      </c>
      <c r="B5" s="38">
        <f>МНК_ВКР!P42</f>
        <v>0.68520000000000003</v>
      </c>
      <c r="C5" s="38">
        <f>МНК_ВКР!P13</f>
        <v>0.68522234415761107</v>
      </c>
      <c r="D5" s="38">
        <f>МНК_STATS19!P13</f>
        <v>0.93822951973749547</v>
      </c>
      <c r="E5" s="38">
        <f>МНК_172!P13</f>
        <v>1.3287711836395333</v>
      </c>
      <c r="F5" s="38">
        <f>МНК_STATS19!P14</f>
        <v>0.69024512789542192</v>
      </c>
      <c r="G5" s="38">
        <f>МНК_STATS19!P15</f>
        <v>1.3592700358468091</v>
      </c>
      <c r="H5" s="38">
        <f t="shared" ref="H5:H13" si="0">D5-B5</f>
        <v>0.25302951973749543</v>
      </c>
    </row>
    <row r="6" spans="1:8" x14ac:dyDescent="0.25">
      <c r="A6" s="38" t="s">
        <v>474</v>
      </c>
      <c r="B6" s="38">
        <f>МНК_ВКР!Q42</f>
        <v>7.9000000000000008E-3</v>
      </c>
      <c r="C6" s="38">
        <f>МНК_ВКР!Q13</f>
        <v>7.9159060098456767E-3</v>
      </c>
      <c r="D6" s="38">
        <f>МНК_STATS19!Q13</f>
        <v>-8.6785356484656261E-3</v>
      </c>
      <c r="E6" s="38">
        <f>МНК_172!Q13</f>
        <v>-1.591474817906223E-2</v>
      </c>
      <c r="F6" s="38">
        <f>МНК_STATS19!Q14</f>
        <v>2.0770177695784403E-2</v>
      </c>
      <c r="G6" s="38">
        <f>МНК_STATS19!Q15</f>
        <v>-0.41783636979798472</v>
      </c>
      <c r="H6" s="38">
        <f t="shared" si="0"/>
        <v>-1.6578535648465627E-2</v>
      </c>
    </row>
    <row r="7" spans="1:8" x14ac:dyDescent="0.25">
      <c r="A7" s="38" t="s">
        <v>450</v>
      </c>
      <c r="B7" s="38">
        <f>МНК_ВКР!R42</f>
        <v>0</v>
      </c>
      <c r="C7" s="38">
        <f>МНК_ВКР!R13</f>
        <v>0</v>
      </c>
      <c r="D7" s="38">
        <f>МНК_STATS19!R13</f>
        <v>0</v>
      </c>
      <c r="E7" s="38">
        <f>МНК_172!R13</f>
        <v>0</v>
      </c>
      <c r="F7" s="38" t="str">
        <f>МНК_STATS19!R14</f>
        <v>—</v>
      </c>
      <c r="G7" s="38" t="str">
        <f>МНК_STATS19!R15</f>
        <v>—</v>
      </c>
      <c r="H7" s="38">
        <f t="shared" si="0"/>
        <v>0</v>
      </c>
    </row>
    <row r="8" spans="1:8" x14ac:dyDescent="0.25">
      <c r="A8" s="38" t="s">
        <v>451</v>
      </c>
      <c r="B8" s="38">
        <f>МНК_ВКР!S42</f>
        <v>-0.2777</v>
      </c>
      <c r="C8" s="38">
        <f>МНК_ВКР!S13</f>
        <v>-0.27773881233952535</v>
      </c>
      <c r="D8" s="38">
        <f>МНК_STATS19!S13</f>
        <v>-0.41037256325394311</v>
      </c>
      <c r="E8" s="38">
        <f>МНК_172!S13</f>
        <v>-0.55479693232737837</v>
      </c>
      <c r="F8" s="38">
        <f>МНК_STATS19!S14</f>
        <v>0.76193319659806347</v>
      </c>
      <c r="G8" s="38">
        <f>МНК_STATS19!S15</f>
        <v>-0.53859388865875035</v>
      </c>
      <c r="H8" s="38">
        <f t="shared" si="0"/>
        <v>-0.13267256325394311</v>
      </c>
    </row>
    <row r="9" spans="1:8" x14ac:dyDescent="0.25">
      <c r="A9" s="38" t="s">
        <v>452</v>
      </c>
      <c r="B9" s="38">
        <f>МНК_ВКР!T42</f>
        <v>-3.4000000000000002E-2</v>
      </c>
      <c r="C9" s="38">
        <f>МНК_ВКР!T13</f>
        <v>-3.3986402849457885E-2</v>
      </c>
      <c r="D9" s="38">
        <f>МНК_STATS19!T13</f>
        <v>-8.563519048813481E-2</v>
      </c>
      <c r="E9" s="38">
        <f>МНК_172!T13</f>
        <v>-0.18341768012980678</v>
      </c>
      <c r="F9" s="38">
        <f>МНК_STATS19!T14</f>
        <v>0.65826387489985483</v>
      </c>
      <c r="G9" s="38">
        <f>МНК_STATS19!T15</f>
        <v>-0.13009249596320768</v>
      </c>
      <c r="H9" s="38">
        <f t="shared" si="0"/>
        <v>-5.1635190488134808E-2</v>
      </c>
    </row>
    <row r="10" spans="1:8" x14ac:dyDescent="0.25">
      <c r="A10" s="38" t="s">
        <v>453</v>
      </c>
      <c r="B10" s="38">
        <f>МНК_ВКР!U42</f>
        <v>0.93610000000000004</v>
      </c>
      <c r="C10" s="38">
        <f>МНК_ВКР!U13</f>
        <v>0.93609749069332548</v>
      </c>
      <c r="D10" s="38">
        <f>МНК_STATS19!U13</f>
        <v>1.207737934793202</v>
      </c>
      <c r="E10" s="38">
        <f>МНК_172!U13</f>
        <v>1.0883331488312729</v>
      </c>
      <c r="F10" s="38">
        <f>МНК_STATS19!U14</f>
        <v>0.61142911030413749</v>
      </c>
      <c r="G10" s="38">
        <f>МНК_STATS19!U15</f>
        <v>1.9752705823778134</v>
      </c>
      <c r="H10" s="38">
        <f t="shared" si="0"/>
        <v>0.27163793479320197</v>
      </c>
    </row>
    <row r="11" spans="1:8" x14ac:dyDescent="0.25">
      <c r="A11" s="38" t="s">
        <v>447</v>
      </c>
      <c r="B11" s="38">
        <f>МНК_ВКР!V42</f>
        <v>0.55700000000000005</v>
      </c>
      <c r="C11" s="38">
        <f>МНК_ВКР!V13</f>
        <v>0.55701625887945105</v>
      </c>
      <c r="D11" s="38">
        <f>МНК_STATS19!V13</f>
        <v>0.56828667892041418</v>
      </c>
      <c r="E11" s="38">
        <f>МНК_172!V13</f>
        <v>0.53471337737432456</v>
      </c>
      <c r="F11" s="38">
        <f>МНК_STATS19!V14</f>
        <v>0.20440451525197414</v>
      </c>
      <c r="G11" s="38">
        <f>МНК_STATS19!V15</f>
        <v>2.7802060938814104</v>
      </c>
      <c r="H11" s="38">
        <f t="shared" si="0"/>
        <v>1.1286678920414128E-2</v>
      </c>
    </row>
    <row r="12" spans="1:8" x14ac:dyDescent="0.25">
      <c r="A12" s="38" t="s">
        <v>448</v>
      </c>
      <c r="B12" s="38">
        <f>МНК_ВКР!W42</f>
        <v>0.32500000000000001</v>
      </c>
      <c r="C12" s="38">
        <f>МНК_ВКР!W13</f>
        <v>0.32504632053809701</v>
      </c>
      <c r="D12" s="38">
        <f>МНК_STATS19!W13</f>
        <v>0.35457985704415779</v>
      </c>
      <c r="E12" s="38">
        <f>МНК_172!W13</f>
        <v>0.33170630536055318</v>
      </c>
      <c r="F12" s="38">
        <f>МНК_STATS19!W14</f>
        <v>0.176068307735255</v>
      </c>
      <c r="G12" s="38">
        <f>МНК_STATS19!W15</f>
        <v>2.0138766686922529</v>
      </c>
      <c r="H12" s="38">
        <f t="shared" si="0"/>
        <v>2.9579857044157776E-2</v>
      </c>
    </row>
    <row r="13" spans="1:8" x14ac:dyDescent="0.25">
      <c r="A13" s="38" t="s">
        <v>449</v>
      </c>
      <c r="B13" s="38">
        <f>МНК_ВКР!X42</f>
        <v>0.44190000000000002</v>
      </c>
      <c r="C13" s="38">
        <f>МНК_ВКР!X13</f>
        <v>0.44186157338108412</v>
      </c>
      <c r="D13" s="38">
        <f>МНК_STATS19!X13</f>
        <v>0.51652937731355808</v>
      </c>
      <c r="E13" s="38">
        <f>МНК_172!X13</f>
        <v>0.52615382893702345</v>
      </c>
      <c r="F13" s="38">
        <f>МНК_STATS19!X14</f>
        <v>0.21925381000467248</v>
      </c>
      <c r="G13" s="38">
        <f>МНК_STATS19!X15</f>
        <v>2.3558513181711662</v>
      </c>
      <c r="H13" s="38">
        <f t="shared" si="0"/>
        <v>7.4629377313558065E-2</v>
      </c>
    </row>
    <row r="14" spans="1:8" x14ac:dyDescent="0.25">
      <c r="A14" s="38" t="s">
        <v>548</v>
      </c>
      <c r="B14" s="38" t="s">
        <v>549</v>
      </c>
      <c r="C14" s="38">
        <f>МНК_ВКР!P33</f>
        <v>0.84352246003119447</v>
      </c>
      <c r="D14" s="38">
        <f>МНК_STATS19!P33</f>
        <v>0.73587132197607252</v>
      </c>
      <c r="E14" s="38">
        <f>МНК_172!P33</f>
        <v>0.73090422354214812</v>
      </c>
      <c r="F14" s="38"/>
      <c r="G14" s="38"/>
      <c r="H14" s="38"/>
    </row>
    <row r="15" spans="1:8" x14ac:dyDescent="0.25">
      <c r="A15" s="38" t="s">
        <v>493</v>
      </c>
      <c r="B15" s="38" t="s">
        <v>483</v>
      </c>
      <c r="C15" s="38">
        <f>МНК_ВКР!P34</f>
        <v>0.91843478812117874</v>
      </c>
      <c r="D15" s="38">
        <f>МНК_STATS19!P34</f>
        <v>0.85782942475533708</v>
      </c>
      <c r="E15" s="38">
        <f>МНК_172!P34</f>
        <v>0.85492936757497584</v>
      </c>
      <c r="F15" s="38"/>
      <c r="G15" s="38"/>
      <c r="H15" s="38"/>
    </row>
    <row r="16" spans="1:8" x14ac:dyDescent="0.25">
      <c r="A16" s="38" t="s">
        <v>550</v>
      </c>
      <c r="B16" s="38" t="s">
        <v>483</v>
      </c>
      <c r="C16" s="38">
        <f>МНК_ВКР!P31</f>
        <v>20.368904917082233</v>
      </c>
      <c r="D16" s="38">
        <f>МНК_STATS19!P31</f>
        <v>40.223024396215237</v>
      </c>
      <c r="E16" s="38">
        <f>МНК_172!P31</f>
        <v>37.873308423753663</v>
      </c>
      <c r="F16" s="38"/>
      <c r="G16" s="38"/>
      <c r="H16" s="38"/>
    </row>
    <row r="17" spans="1:8" x14ac:dyDescent="0.25">
      <c r="A17" s="38" t="s">
        <v>551</v>
      </c>
      <c r="B17" s="44">
        <v>35</v>
      </c>
      <c r="C17" s="44">
        <f>МНК_ВКР!P29</f>
        <v>35</v>
      </c>
      <c r="D17" s="44">
        <f>МНК_STATS19!P29</f>
        <v>35</v>
      </c>
      <c r="E17" s="44">
        <f>МНК_172!P29</f>
        <v>35</v>
      </c>
      <c r="F17" s="38"/>
      <c r="G17" s="38"/>
      <c r="H17" s="38"/>
    </row>
    <row r="18" spans="1:8" x14ac:dyDescent="0.25">
      <c r="A18" s="38" t="s">
        <v>552</v>
      </c>
      <c r="B18" s="44" t="s">
        <v>553</v>
      </c>
      <c r="C18" s="44">
        <f>МНК_ВКР!J40</f>
        <v>162</v>
      </c>
      <c r="D18" s="44">
        <f>МНК_STATS19!J40</f>
        <v>170</v>
      </c>
      <c r="E18" s="44">
        <f>МНК_172!J40</f>
        <v>172</v>
      </c>
      <c r="F18" s="38"/>
      <c r="G18" s="38"/>
      <c r="H18" s="38"/>
    </row>
    <row r="19" spans="1:8" x14ac:dyDescent="0.25">
      <c r="A19" s="38" t="s">
        <v>554</v>
      </c>
      <c r="B19" s="44">
        <v>21</v>
      </c>
      <c r="C19" s="44">
        <f>Оценочная_2017!C20</f>
        <v>21</v>
      </c>
      <c r="D19" s="44">
        <f>Оценочная_2017!C10</f>
        <v>21</v>
      </c>
      <c r="E19" s="44" t="s">
        <v>483</v>
      </c>
      <c r="F19" s="38"/>
      <c r="G19" s="38"/>
      <c r="H19" s="38"/>
    </row>
    <row r="20" spans="1:8" x14ac:dyDescent="0.25">
      <c r="A20" s="38" t="s">
        <v>555</v>
      </c>
      <c r="B20" s="45" t="s">
        <v>556</v>
      </c>
      <c r="C20" s="45">
        <f>Оценочная_2017!J20</f>
        <v>19.581159755847136</v>
      </c>
      <c r="D20" s="45">
        <f>Оценочная_2017!J10</f>
        <v>19.372507125504224</v>
      </c>
      <c r="E20" s="45" t="s">
        <v>483</v>
      </c>
      <c r="F20" s="38"/>
      <c r="G20" s="38"/>
      <c r="H20" s="38"/>
    </row>
    <row r="21" spans="1:8" x14ac:dyDescent="0.25">
      <c r="A21" s="38" t="s">
        <v>557</v>
      </c>
      <c r="B21" s="52" t="s">
        <v>558</v>
      </c>
      <c r="C21" s="52">
        <f>Оценочная_2017!J21</f>
        <v>6.7563821150136399E-2</v>
      </c>
      <c r="D21" s="52">
        <f>Оценочная_2017!J11</f>
        <v>7.749966069027503E-2</v>
      </c>
      <c r="E21" s="38" t="s">
        <v>483</v>
      </c>
      <c r="F21" s="38"/>
      <c r="G21" s="38"/>
      <c r="H21" s="38"/>
    </row>
    <row r="23" spans="1:8" x14ac:dyDescent="0.25">
      <c r="A23" s="3" t="s">
        <v>559</v>
      </c>
    </row>
    <row r="24" spans="1:8" x14ac:dyDescent="0.25">
      <c r="A24" s="18" t="s">
        <v>560</v>
      </c>
    </row>
    <row r="25" spans="1:8" x14ac:dyDescent="0.25">
      <c r="A25" s="18" t="s">
        <v>561</v>
      </c>
    </row>
    <row r="26" spans="1:8" x14ac:dyDescent="0.25">
      <c r="A26" s="18" t="s">
        <v>562</v>
      </c>
    </row>
    <row r="27" spans="1:8" x14ac:dyDescent="0.25">
      <c r="A27" s="18" t="s">
        <v>563</v>
      </c>
    </row>
    <row r="28" spans="1:8" x14ac:dyDescent="0.25">
      <c r="A28" s="18" t="s">
        <v>564</v>
      </c>
    </row>
    <row r="29" spans="1:8" x14ac:dyDescent="0.25">
      <c r="A29" s="18" t="s">
        <v>565</v>
      </c>
    </row>
    <row r="30" spans="1:8" x14ac:dyDescent="0.25">
      <c r="A30" s="18" t="s">
        <v>566</v>
      </c>
    </row>
  </sheetData>
  <pageMargins left="0.75" right="0.75" top="1" bottom="1" header="0.5" footer="0.5"/>
  <pageSetup paperSize="9" fitToHeight="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0"/>
  <sheetViews>
    <sheetView tabSelected="1" workbookViewId="0">
      <selection activeCell="O8" sqref="O8"/>
    </sheetView>
  </sheetViews>
  <sheetFormatPr defaultRowHeight="15" x14ac:dyDescent="0.25"/>
  <cols>
    <col min="1" max="1" width="5" style="34" customWidth="1"/>
    <col min="2" max="3" width="9" style="34" customWidth="1"/>
    <col min="4" max="4" width="12" style="34" customWidth="1"/>
    <col min="5" max="6" width="5" style="34" customWidth="1"/>
    <col min="7" max="10" width="10" style="34" customWidth="1"/>
    <col min="11" max="11" width="3" style="34" customWidth="1"/>
    <col min="12" max="13" width="10" style="34" customWidth="1"/>
    <col min="14" max="14" width="14" style="34" customWidth="1"/>
    <col min="15" max="15" width="16" style="34" customWidth="1"/>
    <col min="16" max="16" width="10" style="34" customWidth="1"/>
    <col min="17" max="17" width="9.140625" style="34"/>
    <col min="18" max="20" width="6" style="34" customWidth="1"/>
    <col min="21" max="16384" width="9.140625" style="34"/>
  </cols>
  <sheetData>
    <row r="1" spans="1:20" ht="18.75" x14ac:dyDescent="0.3">
      <c r="A1" s="33" t="s">
        <v>567</v>
      </c>
    </row>
    <row r="2" spans="1:20" x14ac:dyDescent="0.25">
      <c r="A2" s="6" t="s">
        <v>568</v>
      </c>
    </row>
    <row r="4" spans="1:20" ht="30" x14ac:dyDescent="0.25">
      <c r="A4" s="25" t="s">
        <v>68</v>
      </c>
      <c r="B4" s="25" t="s">
        <v>569</v>
      </c>
      <c r="C4" s="25" t="s">
        <v>570</v>
      </c>
      <c r="D4" s="25" t="s">
        <v>571</v>
      </c>
      <c r="E4" s="25" t="s">
        <v>572</v>
      </c>
      <c r="F4" s="25" t="s">
        <v>573</v>
      </c>
      <c r="G4" s="25" t="s">
        <v>574</v>
      </c>
      <c r="H4" s="25" t="s">
        <v>575</v>
      </c>
      <c r="I4" s="25" t="s">
        <v>576</v>
      </c>
      <c r="J4" s="25" t="s">
        <v>577</v>
      </c>
      <c r="K4" s="23"/>
      <c r="L4" s="20" t="s">
        <v>578</v>
      </c>
      <c r="M4" s="23"/>
      <c r="N4" s="23"/>
      <c r="O4" s="23"/>
      <c r="P4" s="23"/>
      <c r="Q4" s="23"/>
      <c r="R4" s="25" t="s">
        <v>579</v>
      </c>
      <c r="S4" s="25" t="s">
        <v>572</v>
      </c>
      <c r="T4" s="25" t="s">
        <v>573</v>
      </c>
    </row>
    <row r="5" spans="1:20" ht="30" x14ac:dyDescent="0.25">
      <c r="A5" s="27">
        <v>1</v>
      </c>
      <c r="B5" s="56">
        <v>13.3</v>
      </c>
      <c r="C5" s="56">
        <v>28</v>
      </c>
      <c r="D5" s="27" t="s">
        <v>580</v>
      </c>
      <c r="E5" s="27">
        <v>1</v>
      </c>
      <c r="F5" s="27">
        <v>0</v>
      </c>
      <c r="G5" s="42">
        <f t="shared" ref="G5:G17" si="0">$N$6+$N$7*C5+$N$8*E5+$N$9*F5</f>
        <v>13.141911764705881</v>
      </c>
      <c r="H5" s="42">
        <f t="shared" ref="H5:H17" si="1">(B5-G5)^2</f>
        <v>2.4991890138408898E-2</v>
      </c>
      <c r="I5" s="42">
        <f t="shared" ref="I5:I17" si="2">$O$6+$O$7*C5+$O$8*E5+$O$9*F5</f>
        <v>12.850000000000001</v>
      </c>
      <c r="J5" s="42">
        <f t="shared" ref="J5:J17" si="3">(B5-I5)^2</f>
        <v>0.20249999999999935</v>
      </c>
      <c r="K5" s="23"/>
      <c r="L5" s="57" t="s">
        <v>581</v>
      </c>
      <c r="M5" s="58"/>
      <c r="N5" s="25" t="s">
        <v>582</v>
      </c>
      <c r="O5" s="25" t="s">
        <v>583</v>
      </c>
      <c r="P5" s="23"/>
      <c r="Q5" s="23"/>
      <c r="R5" s="23">
        <f t="shared" ref="R5:R17" si="4">C5</f>
        <v>28</v>
      </c>
      <c r="S5" s="23">
        <f t="shared" ref="S5:S17" si="5">E5</f>
        <v>1</v>
      </c>
      <c r="T5" s="23">
        <f t="shared" ref="T5:T17" si="6">F5</f>
        <v>0</v>
      </c>
    </row>
    <row r="6" spans="1:20" x14ac:dyDescent="0.25">
      <c r="A6" s="35">
        <v>2</v>
      </c>
      <c r="B6" s="53">
        <v>8.9</v>
      </c>
      <c r="C6" s="53">
        <v>20</v>
      </c>
      <c r="D6" s="35" t="s">
        <v>580</v>
      </c>
      <c r="E6" s="35">
        <v>1</v>
      </c>
      <c r="F6" s="35">
        <v>0</v>
      </c>
      <c r="G6" s="36">
        <f t="shared" si="0"/>
        <v>9.2477941176470608</v>
      </c>
      <c r="H6" s="36">
        <f t="shared" si="1"/>
        <v>0.12096074826989735</v>
      </c>
      <c r="I6" s="36">
        <f t="shared" si="2"/>
        <v>9.65</v>
      </c>
      <c r="J6" s="36">
        <f t="shared" si="3"/>
        <v>0.5625</v>
      </c>
      <c r="L6" s="55" t="s">
        <v>584</v>
      </c>
      <c r="M6" s="54"/>
      <c r="N6" s="38">
        <f>P12</f>
        <v>1.430882352941178</v>
      </c>
      <c r="O6" s="38">
        <v>3.75</v>
      </c>
      <c r="R6" s="34">
        <f t="shared" si="4"/>
        <v>20</v>
      </c>
      <c r="S6" s="34">
        <f t="shared" si="5"/>
        <v>1</v>
      </c>
      <c r="T6" s="34">
        <f t="shared" si="6"/>
        <v>0</v>
      </c>
    </row>
    <row r="7" spans="1:20" x14ac:dyDescent="0.25">
      <c r="A7" s="35">
        <v>3</v>
      </c>
      <c r="B7" s="53">
        <v>15.1</v>
      </c>
      <c r="C7" s="53">
        <v>32</v>
      </c>
      <c r="D7" s="35" t="s">
        <v>580</v>
      </c>
      <c r="E7" s="35">
        <v>1</v>
      </c>
      <c r="F7" s="35">
        <v>0</v>
      </c>
      <c r="G7" s="36">
        <f t="shared" si="0"/>
        <v>15.088970588235295</v>
      </c>
      <c r="H7" s="36">
        <f t="shared" si="1"/>
        <v>1.2164792387540718E-4</v>
      </c>
      <c r="I7" s="36">
        <f t="shared" si="2"/>
        <v>14.450000000000001</v>
      </c>
      <c r="J7" s="36">
        <f t="shared" si="3"/>
        <v>0.42249999999999815</v>
      </c>
      <c r="L7" s="55" t="s">
        <v>585</v>
      </c>
      <c r="M7" s="54"/>
      <c r="N7" s="38">
        <f>O12</f>
        <v>0.48676470588235288</v>
      </c>
      <c r="O7" s="38">
        <v>0.4</v>
      </c>
      <c r="R7" s="34">
        <f t="shared" si="4"/>
        <v>32</v>
      </c>
      <c r="S7" s="34">
        <f t="shared" si="5"/>
        <v>1</v>
      </c>
      <c r="T7" s="34">
        <f t="shared" si="6"/>
        <v>0</v>
      </c>
    </row>
    <row r="8" spans="1:20" x14ac:dyDescent="0.25">
      <c r="A8" s="35">
        <v>4</v>
      </c>
      <c r="B8" s="53">
        <v>10.4</v>
      </c>
      <c r="C8" s="53">
        <v>22</v>
      </c>
      <c r="D8" s="35" t="s">
        <v>580</v>
      </c>
      <c r="E8" s="35">
        <v>1</v>
      </c>
      <c r="F8" s="35">
        <v>0</v>
      </c>
      <c r="G8" s="36">
        <f t="shared" si="0"/>
        <v>10.221323529411766</v>
      </c>
      <c r="H8" s="36">
        <f t="shared" si="1"/>
        <v>3.1925281141868204E-2</v>
      </c>
      <c r="I8" s="36">
        <f t="shared" si="2"/>
        <v>10.450000000000001</v>
      </c>
      <c r="J8" s="36">
        <f t="shared" si="3"/>
        <v>2.5000000000000712E-3</v>
      </c>
      <c r="L8" s="55" t="s">
        <v>586</v>
      </c>
      <c r="M8" s="54"/>
      <c r="N8" s="38">
        <f>N12</f>
        <v>-1.9183823529411759</v>
      </c>
      <c r="O8" s="38">
        <v>-2.1</v>
      </c>
      <c r="R8" s="34">
        <f t="shared" si="4"/>
        <v>22</v>
      </c>
      <c r="S8" s="34">
        <f t="shared" si="5"/>
        <v>1</v>
      </c>
      <c r="T8" s="34">
        <f t="shared" si="6"/>
        <v>0</v>
      </c>
    </row>
    <row r="9" spans="1:20" x14ac:dyDescent="0.25">
      <c r="A9" s="35">
        <v>5</v>
      </c>
      <c r="B9" s="53">
        <v>13.1</v>
      </c>
      <c r="C9" s="53">
        <v>29</v>
      </c>
      <c r="D9" s="35" t="s">
        <v>587</v>
      </c>
      <c r="E9" s="35">
        <v>0</v>
      </c>
      <c r="F9" s="35">
        <v>1</v>
      </c>
      <c r="G9" s="36">
        <f t="shared" si="0"/>
        <v>13.35514705882353</v>
      </c>
      <c r="H9" s="36">
        <f t="shared" si="1"/>
        <v>6.510002162629791E-2</v>
      </c>
      <c r="I9" s="36">
        <f t="shared" si="2"/>
        <v>13.825000000000001</v>
      </c>
      <c r="J9" s="36">
        <f t="shared" si="3"/>
        <v>0.52562500000000201</v>
      </c>
      <c r="L9" s="55" t="s">
        <v>588</v>
      </c>
      <c r="M9" s="54"/>
      <c r="N9" s="38">
        <f>M12</f>
        <v>-2.1919117647058828</v>
      </c>
      <c r="O9" s="38">
        <v>-1.5249999999999999</v>
      </c>
      <c r="R9" s="34">
        <f t="shared" si="4"/>
        <v>29</v>
      </c>
      <c r="S9" s="34">
        <f t="shared" si="5"/>
        <v>0</v>
      </c>
      <c r="T9" s="34">
        <f t="shared" si="6"/>
        <v>1</v>
      </c>
    </row>
    <row r="10" spans="1:20" x14ac:dyDescent="0.25">
      <c r="A10" s="35">
        <v>6</v>
      </c>
      <c r="B10" s="53">
        <v>12.4</v>
      </c>
      <c r="C10" s="53">
        <v>27</v>
      </c>
      <c r="D10" s="35" t="s">
        <v>587</v>
      </c>
      <c r="E10" s="35">
        <v>0</v>
      </c>
      <c r="F10" s="35">
        <v>1</v>
      </c>
      <c r="G10" s="36">
        <f t="shared" si="0"/>
        <v>12.381617647058825</v>
      </c>
      <c r="H10" s="36">
        <f t="shared" si="1"/>
        <v>3.3791089965395232E-4</v>
      </c>
      <c r="I10" s="36">
        <f t="shared" si="2"/>
        <v>13.025</v>
      </c>
      <c r="J10" s="36">
        <f t="shared" si="3"/>
        <v>0.390625</v>
      </c>
      <c r="R10" s="34">
        <f t="shared" si="4"/>
        <v>27</v>
      </c>
      <c r="S10" s="34">
        <f t="shared" si="5"/>
        <v>0</v>
      </c>
      <c r="T10" s="34">
        <f t="shared" si="6"/>
        <v>1</v>
      </c>
    </row>
    <row r="11" spans="1:20" x14ac:dyDescent="0.25">
      <c r="A11" s="35">
        <v>7</v>
      </c>
      <c r="B11" s="53">
        <v>13.2</v>
      </c>
      <c r="C11" s="53">
        <v>28</v>
      </c>
      <c r="D11" s="35" t="s">
        <v>587</v>
      </c>
      <c r="E11" s="35">
        <v>0</v>
      </c>
      <c r="F11" s="35">
        <v>1</v>
      </c>
      <c r="G11" s="36">
        <f t="shared" si="0"/>
        <v>12.868382352941175</v>
      </c>
      <c r="H11" s="36">
        <f t="shared" si="1"/>
        <v>0.1099702638408307</v>
      </c>
      <c r="I11" s="36">
        <f t="shared" si="2"/>
        <v>13.425000000000001</v>
      </c>
      <c r="J11" s="36">
        <f t="shared" si="3"/>
        <v>5.0625000000000642E-2</v>
      </c>
      <c r="L11" s="3" t="s">
        <v>589</v>
      </c>
      <c r="R11" s="34">
        <f t="shared" si="4"/>
        <v>28</v>
      </c>
      <c r="S11" s="34">
        <f t="shared" si="5"/>
        <v>0</v>
      </c>
      <c r="T11" s="34">
        <f t="shared" si="6"/>
        <v>1</v>
      </c>
    </row>
    <row r="12" spans="1:20" x14ac:dyDescent="0.25">
      <c r="A12" s="35">
        <v>8</v>
      </c>
      <c r="B12" s="53">
        <v>11.8</v>
      </c>
      <c r="C12" s="53">
        <v>26</v>
      </c>
      <c r="D12" s="35" t="s">
        <v>587</v>
      </c>
      <c r="E12" s="35">
        <v>0</v>
      </c>
      <c r="F12" s="35">
        <v>1</v>
      </c>
      <c r="G12" s="36">
        <f t="shared" si="0"/>
        <v>11.89485294117647</v>
      </c>
      <c r="H12" s="36">
        <f t="shared" si="1"/>
        <v>8.9970804498268001E-3</v>
      </c>
      <c r="I12" s="36">
        <f t="shared" si="2"/>
        <v>12.625</v>
      </c>
      <c r="J12" s="36">
        <f t="shared" si="3"/>
        <v>0.68062499999999881</v>
      </c>
      <c r="M12" s="37">
        <f t="array" ref="M12:P16">IFERROR(LINEST(B5:B17,R5:T17,TRUE,TRUE),"")</f>
        <v>-2.1919117647058828</v>
      </c>
      <c r="N12" s="37">
        <v>-1.9183823529411759</v>
      </c>
      <c r="O12" s="37">
        <v>0.48676470588235288</v>
      </c>
      <c r="P12" s="37">
        <v>1.430882352941178</v>
      </c>
      <c r="R12" s="34">
        <f t="shared" si="4"/>
        <v>26</v>
      </c>
      <c r="S12" s="34">
        <f t="shared" si="5"/>
        <v>0</v>
      </c>
      <c r="T12" s="34">
        <f t="shared" si="6"/>
        <v>1</v>
      </c>
    </row>
    <row r="13" spans="1:20" x14ac:dyDescent="0.25">
      <c r="A13" s="35">
        <v>9</v>
      </c>
      <c r="B13" s="53">
        <v>11.5</v>
      </c>
      <c r="C13" s="53">
        <v>21</v>
      </c>
      <c r="D13" s="35" t="s">
        <v>590</v>
      </c>
      <c r="E13" s="35">
        <v>0</v>
      </c>
      <c r="F13" s="35">
        <v>0</v>
      </c>
      <c r="G13" s="36">
        <f t="shared" si="0"/>
        <v>11.652941176470588</v>
      </c>
      <c r="H13" s="36">
        <f t="shared" si="1"/>
        <v>2.3391003460207446E-2</v>
      </c>
      <c r="I13" s="36">
        <f t="shared" si="2"/>
        <v>12.15</v>
      </c>
      <c r="J13" s="36">
        <f t="shared" si="3"/>
        <v>0.42250000000000049</v>
      </c>
      <c r="M13" s="37">
        <v>0.21142577952099226</v>
      </c>
      <c r="N13" s="37">
        <v>0.20180313426227467</v>
      </c>
      <c r="O13" s="37">
        <v>2.5743462755884083E-2</v>
      </c>
      <c r="P13" s="37">
        <v>0.65744187230172202</v>
      </c>
      <c r="R13" s="34">
        <f t="shared" si="4"/>
        <v>21</v>
      </c>
      <c r="S13" s="34">
        <f t="shared" si="5"/>
        <v>0</v>
      </c>
      <c r="T13" s="34">
        <f t="shared" si="6"/>
        <v>0</v>
      </c>
    </row>
    <row r="14" spans="1:20" x14ac:dyDescent="0.25">
      <c r="A14" s="35">
        <v>10</v>
      </c>
      <c r="B14" s="53">
        <v>14.2</v>
      </c>
      <c r="C14" s="53">
        <v>27</v>
      </c>
      <c r="D14" s="35" t="s">
        <v>590</v>
      </c>
      <c r="E14" s="35">
        <v>0</v>
      </c>
      <c r="F14" s="35">
        <v>0</v>
      </c>
      <c r="G14" s="36">
        <f t="shared" si="0"/>
        <v>14.573529411764707</v>
      </c>
      <c r="H14" s="36">
        <f t="shared" si="1"/>
        <v>0.13952422145328819</v>
      </c>
      <c r="I14" s="36">
        <f t="shared" si="2"/>
        <v>14.55</v>
      </c>
      <c r="J14" s="36">
        <f t="shared" si="3"/>
        <v>0.122500000000001</v>
      </c>
      <c r="M14" s="37">
        <v>0.9794206039622827</v>
      </c>
      <c r="N14" s="37">
        <v>0.30021778587260345</v>
      </c>
      <c r="O14" s="37" t="str">
        <v/>
      </c>
      <c r="P14" s="37" t="str">
        <v/>
      </c>
      <c r="R14" s="34">
        <f t="shared" si="4"/>
        <v>27</v>
      </c>
      <c r="S14" s="34">
        <f t="shared" si="5"/>
        <v>0</v>
      </c>
      <c r="T14" s="34">
        <f t="shared" si="6"/>
        <v>0</v>
      </c>
    </row>
    <row r="15" spans="1:20" x14ac:dyDescent="0.25">
      <c r="A15" s="35">
        <v>11</v>
      </c>
      <c r="B15" s="53">
        <v>15.4</v>
      </c>
      <c r="C15" s="53">
        <v>29</v>
      </c>
      <c r="D15" s="35" t="s">
        <v>590</v>
      </c>
      <c r="E15" s="35">
        <v>0</v>
      </c>
      <c r="F15" s="35">
        <v>0</v>
      </c>
      <c r="G15" s="36">
        <f t="shared" si="0"/>
        <v>15.547058823529412</v>
      </c>
      <c r="H15" s="36">
        <f t="shared" si="1"/>
        <v>2.1626297577854517E-2</v>
      </c>
      <c r="I15" s="36">
        <f t="shared" si="2"/>
        <v>15.350000000000001</v>
      </c>
      <c r="J15" s="36">
        <f t="shared" si="3"/>
        <v>2.4999999999998934E-3</v>
      </c>
      <c r="M15" s="37">
        <v>142.77687287331955</v>
      </c>
      <c r="N15" s="37">
        <v>9</v>
      </c>
      <c r="O15" s="37" t="str">
        <v/>
      </c>
      <c r="P15" s="37" t="str">
        <v/>
      </c>
      <c r="R15" s="34">
        <f t="shared" si="4"/>
        <v>29</v>
      </c>
      <c r="S15" s="34">
        <f t="shared" si="5"/>
        <v>0</v>
      </c>
      <c r="T15" s="34">
        <f t="shared" si="6"/>
        <v>0</v>
      </c>
    </row>
    <row r="16" spans="1:20" x14ac:dyDescent="0.25">
      <c r="A16" s="35">
        <v>12</v>
      </c>
      <c r="B16" s="53">
        <v>13.1</v>
      </c>
      <c r="C16" s="53">
        <v>23</v>
      </c>
      <c r="D16" s="35" t="s">
        <v>590</v>
      </c>
      <c r="E16" s="35">
        <v>0</v>
      </c>
      <c r="F16" s="35">
        <v>0</v>
      </c>
      <c r="G16" s="36">
        <f t="shared" si="0"/>
        <v>12.626470588235293</v>
      </c>
      <c r="H16" s="36">
        <f t="shared" si="1"/>
        <v>0.22423010380622929</v>
      </c>
      <c r="I16" s="36">
        <f t="shared" si="2"/>
        <v>12.950000000000001</v>
      </c>
      <c r="J16" s="36">
        <f t="shared" si="3"/>
        <v>2.2499999999999572E-2</v>
      </c>
      <c r="M16" s="37">
        <v>38.605746606334833</v>
      </c>
      <c r="N16" s="37">
        <v>0.81117647058823528</v>
      </c>
      <c r="O16" s="37" t="str">
        <v/>
      </c>
      <c r="P16" s="37" t="str">
        <v/>
      </c>
      <c r="R16" s="34">
        <f t="shared" si="4"/>
        <v>23</v>
      </c>
      <c r="S16" s="34">
        <f t="shared" si="5"/>
        <v>0</v>
      </c>
      <c r="T16" s="34">
        <f t="shared" si="6"/>
        <v>0</v>
      </c>
    </row>
    <row r="17" spans="1:20" x14ac:dyDescent="0.25">
      <c r="A17" s="35">
        <v>13</v>
      </c>
      <c r="B17" s="53">
        <v>13.8</v>
      </c>
      <c r="C17" s="53">
        <v>25</v>
      </c>
      <c r="D17" s="35" t="s">
        <v>590</v>
      </c>
      <c r="E17" s="35">
        <v>0</v>
      </c>
      <c r="F17" s="35">
        <v>0</v>
      </c>
      <c r="G17" s="36">
        <f t="shared" si="0"/>
        <v>13.600000000000001</v>
      </c>
      <c r="H17" s="36">
        <f t="shared" si="1"/>
        <v>3.9999999999999716E-2</v>
      </c>
      <c r="I17" s="36">
        <f t="shared" si="2"/>
        <v>13.75</v>
      </c>
      <c r="J17" s="36">
        <f t="shared" si="3"/>
        <v>2.5000000000000712E-3</v>
      </c>
      <c r="R17" s="34">
        <f t="shared" si="4"/>
        <v>25</v>
      </c>
      <c r="S17" s="34">
        <f t="shared" si="5"/>
        <v>0</v>
      </c>
      <c r="T17" s="34">
        <f t="shared" si="6"/>
        <v>0</v>
      </c>
    </row>
    <row r="18" spans="1:20" x14ac:dyDescent="0.25">
      <c r="G18" s="34" t="s">
        <v>591</v>
      </c>
      <c r="H18" s="15">
        <f>SUM(H5:H17)</f>
        <v>0.81117647058823839</v>
      </c>
      <c r="J18" s="15">
        <f>SUM(J5:J17)</f>
        <v>3.4099999999999997</v>
      </c>
    </row>
    <row r="19" spans="1:20" x14ac:dyDescent="0.25">
      <c r="L19" s="34" t="s">
        <v>592</v>
      </c>
    </row>
    <row r="20" spans="1:20" x14ac:dyDescent="0.25">
      <c r="L20" s="34" t="s">
        <v>593</v>
      </c>
    </row>
  </sheetData>
  <mergeCells count="5">
    <mergeCell ref="L7:M7"/>
    <mergeCell ref="L6:M6"/>
    <mergeCell ref="L5:M5"/>
    <mergeCell ref="L8:M8"/>
    <mergeCell ref="L9:M9"/>
  </mergeCells>
  <pageMargins left="0.75" right="0.75" top="1" bottom="1" header="0.5" footer="0.5"/>
  <pageSetup paperSize="9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Источник_данных</vt:lpstr>
      <vt:lpstr>ДТП_Корнуолл</vt:lpstr>
      <vt:lpstr>Таблица_наблюдений</vt:lpstr>
      <vt:lpstr>МНК_STATS19</vt:lpstr>
      <vt:lpstr>МНК_ВКР</vt:lpstr>
      <vt:lpstr>МНК_172</vt:lpstr>
      <vt:lpstr>Оценочная_2017</vt:lpstr>
      <vt:lpstr>Сравнение</vt:lpstr>
      <vt:lpstr>Пример_индейки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users</cp:lastModifiedBy>
  <dcterms:created xsi:type="dcterms:W3CDTF">2026-10-27T09:46:06Z</dcterms:created>
  <dcterms:modified xsi:type="dcterms:W3CDTF">2026-10-28T06:48:22Z</dcterms:modified>
</cp:coreProperties>
</file>